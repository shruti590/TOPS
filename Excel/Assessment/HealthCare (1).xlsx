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E9123FF-2AEB-4306-B30E-E8F32DDEAA7F}" xr6:coauthVersionLast="47" xr6:coauthVersionMax="47" xr10:uidLastSave="{00000000-0000-0000-0000-000000000000}"/>
  <bookViews>
    <workbookView xWindow="-108" yWindow="-108" windowWidth="23256" windowHeight="12456" xr2:uid="{0B73A451-E903-4805-8878-125F4B22E66F}"/>
  </bookViews>
  <sheets>
    <sheet name="HealthCare" sheetId="1" r:id="rId1"/>
    <sheet name="Ans-1" sheetId="2" r:id="rId2"/>
    <sheet name="Ans-2" sheetId="3" r:id="rId3"/>
    <sheet name="Ans-3" sheetId="4" r:id="rId4"/>
    <sheet name="Ans-4" sheetId="5" r:id="rId5"/>
    <sheet name="Ans-5" sheetId="7" r:id="rId6"/>
    <sheet name="Ans-6" sheetId="8" r:id="rId7"/>
    <sheet name="Ans-7" sheetId="9" r:id="rId8"/>
    <sheet name="Ans-9" sheetId="18" r:id="rId9"/>
    <sheet name="Ans-10" sheetId="19" r:id="rId10"/>
  </sheets>
  <definedNames>
    <definedName name="_xlcn.WorksheetConnection_HealthCareA1W10011" hidden="1">HealthCare!$A$1:$Z$1001</definedName>
  </definedNames>
  <calcPr calcId="191029"/>
  <pivotCaches>
    <pivotCache cacheId="3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HealthCare!$A$1:$W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B766E-0F4D-4E47-AF01-6E5B55DEBA2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1A1F4BA-BDC2-4961-9FE4-3FF5D937167B}" name="WorksheetConnection_HealthCare!$A$1:$W$10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ealthCareA1W10011"/>
        </x15:connection>
      </ext>
    </extLst>
  </connection>
</connections>
</file>

<file path=xl/sharedStrings.xml><?xml version="1.0" encoding="utf-8"?>
<sst xmlns="http://schemas.openxmlformats.org/spreadsheetml/2006/main" count="11189" uniqueCount="1110">
  <si>
    <t>Patient ID</t>
  </si>
  <si>
    <t>Age</t>
  </si>
  <si>
    <t>Department</t>
  </si>
  <si>
    <t>Admission Date</t>
  </si>
  <si>
    <t>Discharge Date</t>
  </si>
  <si>
    <t>Stay Duration (days)</t>
  </si>
  <si>
    <t>Disease/Condition</t>
  </si>
  <si>
    <t>Satisfaction Score</t>
  </si>
  <si>
    <t>Doctor</t>
  </si>
  <si>
    <t>Treatment Cost</t>
  </si>
  <si>
    <t>Medication</t>
  </si>
  <si>
    <t>Has Insurance</t>
  </si>
  <si>
    <t>Case Type</t>
  </si>
  <si>
    <t>Appointment Date</t>
  </si>
  <si>
    <t>Consultation Date</t>
  </si>
  <si>
    <t>Test Type</t>
  </si>
  <si>
    <t>Test Result</t>
  </si>
  <si>
    <t>Shift</t>
  </si>
  <si>
    <t>Staff Hours Worked</t>
  </si>
  <si>
    <t>Staff Available Hours</t>
  </si>
  <si>
    <t>Treatment Plan</t>
  </si>
  <si>
    <t>PAT5000</t>
  </si>
  <si>
    <t>Neurology</t>
  </si>
  <si>
    <t>Heart Disease</t>
  </si>
  <si>
    <t>Dr. Mehta</t>
  </si>
  <si>
    <t>MedC</t>
  </si>
  <si>
    <t>No</t>
  </si>
  <si>
    <t>Routine</t>
  </si>
  <si>
    <t>X-Ray</t>
  </si>
  <si>
    <t>Accepted</t>
  </si>
  <si>
    <t>Afternoon</t>
  </si>
  <si>
    <t>Plan B</t>
  </si>
  <si>
    <t>PAT5001</t>
  </si>
  <si>
    <t>ICU</t>
  </si>
  <si>
    <t>Fracture</t>
  </si>
  <si>
    <t>Dr. Sharma</t>
  </si>
  <si>
    <t>MedE</t>
  </si>
  <si>
    <t>Blood Test</t>
  </si>
  <si>
    <t>Rejected</t>
  </si>
  <si>
    <t>PAT5002</t>
  </si>
  <si>
    <t>Hypertension</t>
  </si>
  <si>
    <t>Emergency</t>
  </si>
  <si>
    <t>CT Scan</t>
  </si>
  <si>
    <t>Morning</t>
  </si>
  <si>
    <t>PAT5003</t>
  </si>
  <si>
    <t>General Medicine</t>
  </si>
  <si>
    <t>Dr. Gupta</t>
  </si>
  <si>
    <t>Night</t>
  </si>
  <si>
    <t>Plan C</t>
  </si>
  <si>
    <t>PAT5004</t>
  </si>
  <si>
    <t>Diabetes</t>
  </si>
  <si>
    <t>PAT5005</t>
  </si>
  <si>
    <t>Cardiology</t>
  </si>
  <si>
    <t>MedA</t>
  </si>
  <si>
    <t>Yes</t>
  </si>
  <si>
    <t>Ultrasound</t>
  </si>
  <si>
    <t>PAT5006</t>
  </si>
  <si>
    <t>Flu</t>
  </si>
  <si>
    <t>PAT5007</t>
  </si>
  <si>
    <t>PAT5008</t>
  </si>
  <si>
    <t>MedD</t>
  </si>
  <si>
    <t>PAT5009</t>
  </si>
  <si>
    <t>Orthopedics</t>
  </si>
  <si>
    <t>Migraine</t>
  </si>
  <si>
    <t>MRI</t>
  </si>
  <si>
    <t>PAT5010</t>
  </si>
  <si>
    <t>Dr. Rao</t>
  </si>
  <si>
    <t>MedB</t>
  </si>
  <si>
    <t>Plan A</t>
  </si>
  <si>
    <t>PAT5011</t>
  </si>
  <si>
    <t>PAT5012</t>
  </si>
  <si>
    <t>Dr. Patel</t>
  </si>
  <si>
    <t>PAT5013</t>
  </si>
  <si>
    <t>PAT5014</t>
  </si>
  <si>
    <t>PAT5015</t>
  </si>
  <si>
    <t>PAT5016</t>
  </si>
  <si>
    <t>PAT5017</t>
  </si>
  <si>
    <t>PAT5018</t>
  </si>
  <si>
    <t>PAT5019</t>
  </si>
  <si>
    <t>PAT5020</t>
  </si>
  <si>
    <t>PAT5021</t>
  </si>
  <si>
    <t>PAT5022</t>
  </si>
  <si>
    <t>PAT5023</t>
  </si>
  <si>
    <t>PAT5024</t>
  </si>
  <si>
    <t>PAT5025</t>
  </si>
  <si>
    <t>PAT5026</t>
  </si>
  <si>
    <t>PAT5027</t>
  </si>
  <si>
    <t>PAT5028</t>
  </si>
  <si>
    <t>PAT5029</t>
  </si>
  <si>
    <t>PAT5030</t>
  </si>
  <si>
    <t>PAT5031</t>
  </si>
  <si>
    <t>PAT5032</t>
  </si>
  <si>
    <t>PAT5033</t>
  </si>
  <si>
    <t>PAT5034</t>
  </si>
  <si>
    <t>PAT5035</t>
  </si>
  <si>
    <t>PAT5036</t>
  </si>
  <si>
    <t>PAT5037</t>
  </si>
  <si>
    <t>PAT5038</t>
  </si>
  <si>
    <t>PAT5039</t>
  </si>
  <si>
    <t>PAT5040</t>
  </si>
  <si>
    <t>PAT5041</t>
  </si>
  <si>
    <t>PAT5042</t>
  </si>
  <si>
    <t>PAT5043</t>
  </si>
  <si>
    <t>PAT5044</t>
  </si>
  <si>
    <t>PAT5045</t>
  </si>
  <si>
    <t>PAT5046</t>
  </si>
  <si>
    <t>PAT5047</t>
  </si>
  <si>
    <t>PAT5048</t>
  </si>
  <si>
    <t>PAT5049</t>
  </si>
  <si>
    <t>PAT5050</t>
  </si>
  <si>
    <t>PAT5051</t>
  </si>
  <si>
    <t>PAT5052</t>
  </si>
  <si>
    <t>PAT5053</t>
  </si>
  <si>
    <t>PAT5054</t>
  </si>
  <si>
    <t>PAT5055</t>
  </si>
  <si>
    <t>PAT5056</t>
  </si>
  <si>
    <t>PAT5057</t>
  </si>
  <si>
    <t>PAT5058</t>
  </si>
  <si>
    <t>PAT5059</t>
  </si>
  <si>
    <t>PAT5060</t>
  </si>
  <si>
    <t>PAT5061</t>
  </si>
  <si>
    <t>PAT5062</t>
  </si>
  <si>
    <t>PAT5063</t>
  </si>
  <si>
    <t>PAT5064</t>
  </si>
  <si>
    <t>PAT5065</t>
  </si>
  <si>
    <t>PAT5066</t>
  </si>
  <si>
    <t>PAT5067</t>
  </si>
  <si>
    <t>PAT5068</t>
  </si>
  <si>
    <t>PAT5069</t>
  </si>
  <si>
    <t>PAT5070</t>
  </si>
  <si>
    <t>PAT5071</t>
  </si>
  <si>
    <t>PAT5072</t>
  </si>
  <si>
    <t>PAT5073</t>
  </si>
  <si>
    <t>PAT5074</t>
  </si>
  <si>
    <t>PAT5075</t>
  </si>
  <si>
    <t>PAT5076</t>
  </si>
  <si>
    <t>PAT5077</t>
  </si>
  <si>
    <t>PAT5078</t>
  </si>
  <si>
    <t>PAT5079</t>
  </si>
  <si>
    <t>PAT5080</t>
  </si>
  <si>
    <t>PAT5081</t>
  </si>
  <si>
    <t>PAT5082</t>
  </si>
  <si>
    <t>PAT5083</t>
  </si>
  <si>
    <t>PAT5084</t>
  </si>
  <si>
    <t>PAT5085</t>
  </si>
  <si>
    <t>PAT5086</t>
  </si>
  <si>
    <t>PAT5087</t>
  </si>
  <si>
    <t>PAT5088</t>
  </si>
  <si>
    <t>PAT5089</t>
  </si>
  <si>
    <t>PAT5090</t>
  </si>
  <si>
    <t>PAT5091</t>
  </si>
  <si>
    <t>PAT5092</t>
  </si>
  <si>
    <t>PAT5093</t>
  </si>
  <si>
    <t>PAT5094</t>
  </si>
  <si>
    <t>PAT5095</t>
  </si>
  <si>
    <t>PAT5096</t>
  </si>
  <si>
    <t>PAT5097</t>
  </si>
  <si>
    <t>PAT5098</t>
  </si>
  <si>
    <t>PAT5099</t>
  </si>
  <si>
    <t>PAT5100</t>
  </si>
  <si>
    <t>PAT5101</t>
  </si>
  <si>
    <t>PAT5102</t>
  </si>
  <si>
    <t>PAT5103</t>
  </si>
  <si>
    <t>PAT5104</t>
  </si>
  <si>
    <t>PAT5105</t>
  </si>
  <si>
    <t>PAT5106</t>
  </si>
  <si>
    <t>PAT5107</t>
  </si>
  <si>
    <t>PAT5108</t>
  </si>
  <si>
    <t>PAT5109</t>
  </si>
  <si>
    <t>PAT5110</t>
  </si>
  <si>
    <t>PAT5111</t>
  </si>
  <si>
    <t>PAT5112</t>
  </si>
  <si>
    <t>PAT5113</t>
  </si>
  <si>
    <t>PAT5114</t>
  </si>
  <si>
    <t>PAT5115</t>
  </si>
  <si>
    <t>PAT5116</t>
  </si>
  <si>
    <t>PAT5117</t>
  </si>
  <si>
    <t>PAT5118</t>
  </si>
  <si>
    <t>PAT5119</t>
  </si>
  <si>
    <t>PAT5120</t>
  </si>
  <si>
    <t>PAT5121</t>
  </si>
  <si>
    <t>PAT5122</t>
  </si>
  <si>
    <t>PAT5123</t>
  </si>
  <si>
    <t>PAT5124</t>
  </si>
  <si>
    <t>PAT5125</t>
  </si>
  <si>
    <t>PAT5126</t>
  </si>
  <si>
    <t>PAT5127</t>
  </si>
  <si>
    <t>PAT5128</t>
  </si>
  <si>
    <t>PAT5129</t>
  </si>
  <si>
    <t>PAT5130</t>
  </si>
  <si>
    <t>PAT5131</t>
  </si>
  <si>
    <t>PAT5132</t>
  </si>
  <si>
    <t>PAT5133</t>
  </si>
  <si>
    <t>PAT5134</t>
  </si>
  <si>
    <t>PAT5135</t>
  </si>
  <si>
    <t>PAT5136</t>
  </si>
  <si>
    <t>PAT5137</t>
  </si>
  <si>
    <t>PAT5138</t>
  </si>
  <si>
    <t>PAT5139</t>
  </si>
  <si>
    <t>PAT5140</t>
  </si>
  <si>
    <t>PAT5141</t>
  </si>
  <si>
    <t>PAT5142</t>
  </si>
  <si>
    <t>PAT5143</t>
  </si>
  <si>
    <t>PAT5144</t>
  </si>
  <si>
    <t>PAT5145</t>
  </si>
  <si>
    <t>PAT5146</t>
  </si>
  <si>
    <t>PAT5147</t>
  </si>
  <si>
    <t>PAT5148</t>
  </si>
  <si>
    <t>PAT5149</t>
  </si>
  <si>
    <t>PAT5150</t>
  </si>
  <si>
    <t>PAT5151</t>
  </si>
  <si>
    <t>PAT5152</t>
  </si>
  <si>
    <t>PAT5153</t>
  </si>
  <si>
    <t>PAT5154</t>
  </si>
  <si>
    <t>PAT5155</t>
  </si>
  <si>
    <t>PAT5156</t>
  </si>
  <si>
    <t>PAT5157</t>
  </si>
  <si>
    <t>PAT5158</t>
  </si>
  <si>
    <t>PAT5159</t>
  </si>
  <si>
    <t>PAT5160</t>
  </si>
  <si>
    <t>PAT5161</t>
  </si>
  <si>
    <t>PAT5162</t>
  </si>
  <si>
    <t>PAT5163</t>
  </si>
  <si>
    <t>PAT5164</t>
  </si>
  <si>
    <t>PAT5165</t>
  </si>
  <si>
    <t>PAT5166</t>
  </si>
  <si>
    <t>PAT5167</t>
  </si>
  <si>
    <t>PAT5168</t>
  </si>
  <si>
    <t>PAT5169</t>
  </si>
  <si>
    <t>PAT5170</t>
  </si>
  <si>
    <t>PAT5171</t>
  </si>
  <si>
    <t>PAT5172</t>
  </si>
  <si>
    <t>PAT5173</t>
  </si>
  <si>
    <t>PAT5174</t>
  </si>
  <si>
    <t>PAT5175</t>
  </si>
  <si>
    <t>PAT5176</t>
  </si>
  <si>
    <t>PAT5177</t>
  </si>
  <si>
    <t>PAT5178</t>
  </si>
  <si>
    <t>PAT5179</t>
  </si>
  <si>
    <t>PAT5180</t>
  </si>
  <si>
    <t>PAT5181</t>
  </si>
  <si>
    <t>PAT5182</t>
  </si>
  <si>
    <t>PAT5183</t>
  </si>
  <si>
    <t>PAT5184</t>
  </si>
  <si>
    <t>PAT5185</t>
  </si>
  <si>
    <t>PAT5186</t>
  </si>
  <si>
    <t>PAT5187</t>
  </si>
  <si>
    <t>PAT5188</t>
  </si>
  <si>
    <t>PAT5189</t>
  </si>
  <si>
    <t>PAT5190</t>
  </si>
  <si>
    <t>PAT5191</t>
  </si>
  <si>
    <t>PAT5192</t>
  </si>
  <si>
    <t>PAT5193</t>
  </si>
  <si>
    <t>PAT5194</t>
  </si>
  <si>
    <t>PAT5195</t>
  </si>
  <si>
    <t>PAT5196</t>
  </si>
  <si>
    <t>PAT5197</t>
  </si>
  <si>
    <t>PAT5198</t>
  </si>
  <si>
    <t>PAT5199</t>
  </si>
  <si>
    <t>PAT5200</t>
  </si>
  <si>
    <t>PAT5201</t>
  </si>
  <si>
    <t>PAT5202</t>
  </si>
  <si>
    <t>PAT5203</t>
  </si>
  <si>
    <t>PAT5204</t>
  </si>
  <si>
    <t>PAT5205</t>
  </si>
  <si>
    <t>PAT5206</t>
  </si>
  <si>
    <t>PAT5207</t>
  </si>
  <si>
    <t>PAT5208</t>
  </si>
  <si>
    <t>PAT5209</t>
  </si>
  <si>
    <t>PAT5210</t>
  </si>
  <si>
    <t>PAT5211</t>
  </si>
  <si>
    <t>PAT5212</t>
  </si>
  <si>
    <t>PAT5213</t>
  </si>
  <si>
    <t>PAT5214</t>
  </si>
  <si>
    <t>PAT5215</t>
  </si>
  <si>
    <t>PAT5216</t>
  </si>
  <si>
    <t>PAT5217</t>
  </si>
  <si>
    <t>PAT5218</t>
  </si>
  <si>
    <t>PAT5219</t>
  </si>
  <si>
    <t>PAT5220</t>
  </si>
  <si>
    <t>PAT5221</t>
  </si>
  <si>
    <t>PAT5222</t>
  </si>
  <si>
    <t>PAT5223</t>
  </si>
  <si>
    <t>PAT5224</t>
  </si>
  <si>
    <t>PAT5225</t>
  </si>
  <si>
    <t>PAT5226</t>
  </si>
  <si>
    <t>PAT5227</t>
  </si>
  <si>
    <t>PAT5228</t>
  </si>
  <si>
    <t>PAT5229</t>
  </si>
  <si>
    <t>PAT5230</t>
  </si>
  <si>
    <t>PAT5231</t>
  </si>
  <si>
    <t>PAT5232</t>
  </si>
  <si>
    <t>PAT5233</t>
  </si>
  <si>
    <t>PAT5234</t>
  </si>
  <si>
    <t>PAT5235</t>
  </si>
  <si>
    <t>PAT5236</t>
  </si>
  <si>
    <t>PAT5237</t>
  </si>
  <si>
    <t>PAT5238</t>
  </si>
  <si>
    <t>PAT5239</t>
  </si>
  <si>
    <t>PAT5240</t>
  </si>
  <si>
    <t>PAT5241</t>
  </si>
  <si>
    <t>PAT5242</t>
  </si>
  <si>
    <t>PAT5243</t>
  </si>
  <si>
    <t>PAT5244</t>
  </si>
  <si>
    <t>PAT5245</t>
  </si>
  <si>
    <t>PAT5246</t>
  </si>
  <si>
    <t>PAT5247</t>
  </si>
  <si>
    <t>PAT5248</t>
  </si>
  <si>
    <t>PAT5249</t>
  </si>
  <si>
    <t>PAT5250</t>
  </si>
  <si>
    <t>PAT5251</t>
  </si>
  <si>
    <t>PAT5252</t>
  </si>
  <si>
    <t>PAT5253</t>
  </si>
  <si>
    <t>PAT5254</t>
  </si>
  <si>
    <t>PAT5255</t>
  </si>
  <si>
    <t>PAT5256</t>
  </si>
  <si>
    <t>PAT5257</t>
  </si>
  <si>
    <t>PAT5258</t>
  </si>
  <si>
    <t>PAT5259</t>
  </si>
  <si>
    <t>PAT5260</t>
  </si>
  <si>
    <t>PAT5261</t>
  </si>
  <si>
    <t>PAT5262</t>
  </si>
  <si>
    <t>PAT5263</t>
  </si>
  <si>
    <t>PAT5264</t>
  </si>
  <si>
    <t>PAT5265</t>
  </si>
  <si>
    <t>PAT5266</t>
  </si>
  <si>
    <t>PAT5267</t>
  </si>
  <si>
    <t>PAT5268</t>
  </si>
  <si>
    <t>PAT5269</t>
  </si>
  <si>
    <t>PAT5270</t>
  </si>
  <si>
    <t>PAT5271</t>
  </si>
  <si>
    <t>PAT5272</t>
  </si>
  <si>
    <t>PAT5273</t>
  </si>
  <si>
    <t>PAT5274</t>
  </si>
  <si>
    <t>PAT5275</t>
  </si>
  <si>
    <t>PAT5276</t>
  </si>
  <si>
    <t>PAT5277</t>
  </si>
  <si>
    <t>PAT5278</t>
  </si>
  <si>
    <t>PAT5279</t>
  </si>
  <si>
    <t>PAT5280</t>
  </si>
  <si>
    <t>PAT5281</t>
  </si>
  <si>
    <t>PAT5282</t>
  </si>
  <si>
    <t>PAT5283</t>
  </si>
  <si>
    <t>PAT5284</t>
  </si>
  <si>
    <t>PAT5285</t>
  </si>
  <si>
    <t>PAT5286</t>
  </si>
  <si>
    <t>PAT5287</t>
  </si>
  <si>
    <t>PAT5288</t>
  </si>
  <si>
    <t>PAT5289</t>
  </si>
  <si>
    <t>PAT5290</t>
  </si>
  <si>
    <t>PAT5291</t>
  </si>
  <si>
    <t>PAT5292</t>
  </si>
  <si>
    <t>PAT5293</t>
  </si>
  <si>
    <t>PAT5294</t>
  </si>
  <si>
    <t>PAT5295</t>
  </si>
  <si>
    <t>PAT5296</t>
  </si>
  <si>
    <t>PAT5297</t>
  </si>
  <si>
    <t>PAT5298</t>
  </si>
  <si>
    <t>PAT5299</t>
  </si>
  <si>
    <t>PAT5300</t>
  </si>
  <si>
    <t>PAT5301</t>
  </si>
  <si>
    <t>PAT5302</t>
  </si>
  <si>
    <t>PAT5303</t>
  </si>
  <si>
    <t>PAT5304</t>
  </si>
  <si>
    <t>PAT5305</t>
  </si>
  <si>
    <t>PAT5306</t>
  </si>
  <si>
    <t>PAT5307</t>
  </si>
  <si>
    <t>PAT5308</t>
  </si>
  <si>
    <t>PAT5309</t>
  </si>
  <si>
    <t>PAT5310</t>
  </si>
  <si>
    <t>PAT5311</t>
  </si>
  <si>
    <t>PAT5312</t>
  </si>
  <si>
    <t>PAT5313</t>
  </si>
  <si>
    <t>PAT5314</t>
  </si>
  <si>
    <t>PAT5315</t>
  </si>
  <si>
    <t>PAT5316</t>
  </si>
  <si>
    <t>PAT5317</t>
  </si>
  <si>
    <t>PAT5318</t>
  </si>
  <si>
    <t>PAT5319</t>
  </si>
  <si>
    <t>PAT5320</t>
  </si>
  <si>
    <t>PAT5321</t>
  </si>
  <si>
    <t>PAT5322</t>
  </si>
  <si>
    <t>PAT5323</t>
  </si>
  <si>
    <t>PAT5324</t>
  </si>
  <si>
    <t>PAT5325</t>
  </si>
  <si>
    <t>PAT5326</t>
  </si>
  <si>
    <t>PAT5327</t>
  </si>
  <si>
    <t>PAT5328</t>
  </si>
  <si>
    <t>PAT5329</t>
  </si>
  <si>
    <t>PAT5330</t>
  </si>
  <si>
    <t>PAT5331</t>
  </si>
  <si>
    <t>PAT5332</t>
  </si>
  <si>
    <t>PAT5333</t>
  </si>
  <si>
    <t>PAT5334</t>
  </si>
  <si>
    <t>PAT5335</t>
  </si>
  <si>
    <t>PAT5336</t>
  </si>
  <si>
    <t>PAT5337</t>
  </si>
  <si>
    <t>PAT5338</t>
  </si>
  <si>
    <t>PAT5339</t>
  </si>
  <si>
    <t>PAT5340</t>
  </si>
  <si>
    <t>PAT5341</t>
  </si>
  <si>
    <t>PAT5342</t>
  </si>
  <si>
    <t>PAT5343</t>
  </si>
  <si>
    <t>PAT5344</t>
  </si>
  <si>
    <t>PAT5345</t>
  </si>
  <si>
    <t>PAT5346</t>
  </si>
  <si>
    <t>PAT5347</t>
  </si>
  <si>
    <t>PAT5348</t>
  </si>
  <si>
    <t>PAT5349</t>
  </si>
  <si>
    <t>PAT5350</t>
  </si>
  <si>
    <t>PAT5351</t>
  </si>
  <si>
    <t>PAT5352</t>
  </si>
  <si>
    <t>PAT5353</t>
  </si>
  <si>
    <t>PAT5354</t>
  </si>
  <si>
    <t>PAT5355</t>
  </si>
  <si>
    <t>PAT5356</t>
  </si>
  <si>
    <t>PAT5357</t>
  </si>
  <si>
    <t>PAT5358</t>
  </si>
  <si>
    <t>PAT5359</t>
  </si>
  <si>
    <t>PAT5360</t>
  </si>
  <si>
    <t>PAT5361</t>
  </si>
  <si>
    <t>PAT5362</t>
  </si>
  <si>
    <t>PAT5363</t>
  </si>
  <si>
    <t>PAT5364</t>
  </si>
  <si>
    <t>PAT5365</t>
  </si>
  <si>
    <t>PAT5366</t>
  </si>
  <si>
    <t>PAT5367</t>
  </si>
  <si>
    <t>PAT5368</t>
  </si>
  <si>
    <t>PAT5369</t>
  </si>
  <si>
    <t>PAT5370</t>
  </si>
  <si>
    <t>PAT5371</t>
  </si>
  <si>
    <t>PAT5372</t>
  </si>
  <si>
    <t>PAT5373</t>
  </si>
  <si>
    <t>PAT5374</t>
  </si>
  <si>
    <t>PAT5375</t>
  </si>
  <si>
    <t>PAT5376</t>
  </si>
  <si>
    <t>PAT5377</t>
  </si>
  <si>
    <t>PAT5378</t>
  </si>
  <si>
    <t>PAT5379</t>
  </si>
  <si>
    <t>PAT5380</t>
  </si>
  <si>
    <t>PAT5381</t>
  </si>
  <si>
    <t>PAT5382</t>
  </si>
  <si>
    <t>PAT5383</t>
  </si>
  <si>
    <t>PAT5384</t>
  </si>
  <si>
    <t>PAT5385</t>
  </si>
  <si>
    <t>PAT5386</t>
  </si>
  <si>
    <t>PAT5387</t>
  </si>
  <si>
    <t>PAT5388</t>
  </si>
  <si>
    <t>PAT5389</t>
  </si>
  <si>
    <t>PAT5390</t>
  </si>
  <si>
    <t>PAT5391</t>
  </si>
  <si>
    <t>PAT5392</t>
  </si>
  <si>
    <t>PAT5393</t>
  </si>
  <si>
    <t>PAT5394</t>
  </si>
  <si>
    <t>PAT5395</t>
  </si>
  <si>
    <t>PAT5396</t>
  </si>
  <si>
    <t>PAT5397</t>
  </si>
  <si>
    <t>PAT5398</t>
  </si>
  <si>
    <t>PAT5399</t>
  </si>
  <si>
    <t>PAT5400</t>
  </si>
  <si>
    <t>PAT5401</t>
  </si>
  <si>
    <t>PAT5402</t>
  </si>
  <si>
    <t>PAT5403</t>
  </si>
  <si>
    <t>PAT5404</t>
  </si>
  <si>
    <t>PAT5405</t>
  </si>
  <si>
    <t>PAT5406</t>
  </si>
  <si>
    <t>PAT5407</t>
  </si>
  <si>
    <t>PAT5408</t>
  </si>
  <si>
    <t>PAT5409</t>
  </si>
  <si>
    <t>PAT5410</t>
  </si>
  <si>
    <t>PAT5411</t>
  </si>
  <si>
    <t>PAT5412</t>
  </si>
  <si>
    <t>PAT5413</t>
  </si>
  <si>
    <t>PAT5414</t>
  </si>
  <si>
    <t>PAT5415</t>
  </si>
  <si>
    <t>PAT5416</t>
  </si>
  <si>
    <t>PAT5417</t>
  </si>
  <si>
    <t>PAT5418</t>
  </si>
  <si>
    <t>PAT5419</t>
  </si>
  <si>
    <t>PAT5420</t>
  </si>
  <si>
    <t>PAT5421</t>
  </si>
  <si>
    <t>PAT5422</t>
  </si>
  <si>
    <t>PAT5423</t>
  </si>
  <si>
    <t>PAT5424</t>
  </si>
  <si>
    <t>PAT5425</t>
  </si>
  <si>
    <t>PAT5426</t>
  </si>
  <si>
    <t>PAT5427</t>
  </si>
  <si>
    <t>PAT5428</t>
  </si>
  <si>
    <t>PAT5429</t>
  </si>
  <si>
    <t>PAT5430</t>
  </si>
  <si>
    <t>PAT5431</t>
  </si>
  <si>
    <t>PAT5432</t>
  </si>
  <si>
    <t>PAT5433</t>
  </si>
  <si>
    <t>PAT5434</t>
  </si>
  <si>
    <t>PAT5435</t>
  </si>
  <si>
    <t>PAT5436</t>
  </si>
  <si>
    <t>PAT5437</t>
  </si>
  <si>
    <t>PAT5438</t>
  </si>
  <si>
    <t>PAT5439</t>
  </si>
  <si>
    <t>PAT5440</t>
  </si>
  <si>
    <t>PAT5441</t>
  </si>
  <si>
    <t>PAT5442</t>
  </si>
  <si>
    <t>PAT5443</t>
  </si>
  <si>
    <t>PAT5444</t>
  </si>
  <si>
    <t>PAT5445</t>
  </si>
  <si>
    <t>PAT5446</t>
  </si>
  <si>
    <t>PAT5447</t>
  </si>
  <si>
    <t>PAT5448</t>
  </si>
  <si>
    <t>PAT5449</t>
  </si>
  <si>
    <t>PAT5450</t>
  </si>
  <si>
    <t>PAT5451</t>
  </si>
  <si>
    <t>PAT5452</t>
  </si>
  <si>
    <t>PAT5453</t>
  </si>
  <si>
    <t>PAT5454</t>
  </si>
  <si>
    <t>PAT5455</t>
  </si>
  <si>
    <t>PAT5456</t>
  </si>
  <si>
    <t>PAT5457</t>
  </si>
  <si>
    <t>PAT5458</t>
  </si>
  <si>
    <t>PAT5459</t>
  </si>
  <si>
    <t>PAT5460</t>
  </si>
  <si>
    <t>PAT5461</t>
  </si>
  <si>
    <t>PAT5462</t>
  </si>
  <si>
    <t>PAT5463</t>
  </si>
  <si>
    <t>PAT5464</t>
  </si>
  <si>
    <t>PAT5465</t>
  </si>
  <si>
    <t>PAT5466</t>
  </si>
  <si>
    <t>PAT5467</t>
  </si>
  <si>
    <t>PAT5468</t>
  </si>
  <si>
    <t>PAT5469</t>
  </si>
  <si>
    <t>PAT5470</t>
  </si>
  <si>
    <t>PAT5471</t>
  </si>
  <si>
    <t>PAT5472</t>
  </si>
  <si>
    <t>PAT5473</t>
  </si>
  <si>
    <t>PAT5474</t>
  </si>
  <si>
    <t>PAT5475</t>
  </si>
  <si>
    <t>PAT5476</t>
  </si>
  <si>
    <t>PAT5477</t>
  </si>
  <si>
    <t>PAT5478</t>
  </si>
  <si>
    <t>PAT5479</t>
  </si>
  <si>
    <t>PAT5480</t>
  </si>
  <si>
    <t>PAT5481</t>
  </si>
  <si>
    <t>PAT5482</t>
  </si>
  <si>
    <t>PAT5483</t>
  </si>
  <si>
    <t>PAT5484</t>
  </si>
  <si>
    <t>PAT5485</t>
  </si>
  <si>
    <t>PAT5486</t>
  </si>
  <si>
    <t>PAT5487</t>
  </si>
  <si>
    <t>PAT5488</t>
  </si>
  <si>
    <t>PAT5489</t>
  </si>
  <si>
    <t>PAT5490</t>
  </si>
  <si>
    <t>PAT5491</t>
  </si>
  <si>
    <t>PAT5492</t>
  </si>
  <si>
    <t>PAT5493</t>
  </si>
  <si>
    <t>PAT5494</t>
  </si>
  <si>
    <t>PAT5495</t>
  </si>
  <si>
    <t>PAT5496</t>
  </si>
  <si>
    <t>PAT5497</t>
  </si>
  <si>
    <t>PAT5498</t>
  </si>
  <si>
    <t>PAT5499</t>
  </si>
  <si>
    <t>PAT5500</t>
  </si>
  <si>
    <t>PAT5501</t>
  </si>
  <si>
    <t>PAT5502</t>
  </si>
  <si>
    <t>PAT5503</t>
  </si>
  <si>
    <t>PAT5504</t>
  </si>
  <si>
    <t>PAT5505</t>
  </si>
  <si>
    <t>PAT5506</t>
  </si>
  <si>
    <t>PAT5507</t>
  </si>
  <si>
    <t>PAT5508</t>
  </si>
  <si>
    <t>PAT5509</t>
  </si>
  <si>
    <t>PAT5510</t>
  </si>
  <si>
    <t>PAT5511</t>
  </si>
  <si>
    <t>PAT5512</t>
  </si>
  <si>
    <t>PAT5513</t>
  </si>
  <si>
    <t>PAT5514</t>
  </si>
  <si>
    <t>PAT5515</t>
  </si>
  <si>
    <t>PAT5516</t>
  </si>
  <si>
    <t>PAT5517</t>
  </si>
  <si>
    <t>PAT5518</t>
  </si>
  <si>
    <t>PAT5519</t>
  </si>
  <si>
    <t>PAT5520</t>
  </si>
  <si>
    <t>PAT5521</t>
  </si>
  <si>
    <t>PAT5522</t>
  </si>
  <si>
    <t>PAT5523</t>
  </si>
  <si>
    <t>PAT5524</t>
  </si>
  <si>
    <t>PAT5525</t>
  </si>
  <si>
    <t>PAT5526</t>
  </si>
  <si>
    <t>PAT5527</t>
  </si>
  <si>
    <t>PAT5528</t>
  </si>
  <si>
    <t>PAT5529</t>
  </si>
  <si>
    <t>PAT5530</t>
  </si>
  <si>
    <t>PAT5531</t>
  </si>
  <si>
    <t>PAT5532</t>
  </si>
  <si>
    <t>PAT5533</t>
  </si>
  <si>
    <t>PAT5534</t>
  </si>
  <si>
    <t>PAT5535</t>
  </si>
  <si>
    <t>PAT5536</t>
  </si>
  <si>
    <t>PAT5537</t>
  </si>
  <si>
    <t>PAT5538</t>
  </si>
  <si>
    <t>PAT5539</t>
  </si>
  <si>
    <t>PAT5540</t>
  </si>
  <si>
    <t>PAT5541</t>
  </si>
  <si>
    <t>PAT5542</t>
  </si>
  <si>
    <t>PAT5543</t>
  </si>
  <si>
    <t>PAT5544</t>
  </si>
  <si>
    <t>PAT5545</t>
  </si>
  <si>
    <t>PAT5546</t>
  </si>
  <si>
    <t>PAT5547</t>
  </si>
  <si>
    <t>PAT5548</t>
  </si>
  <si>
    <t>PAT5549</t>
  </si>
  <si>
    <t>PAT5550</t>
  </si>
  <si>
    <t>PAT5551</t>
  </si>
  <si>
    <t>PAT5552</t>
  </si>
  <si>
    <t>PAT5553</t>
  </si>
  <si>
    <t>PAT5554</t>
  </si>
  <si>
    <t>PAT5555</t>
  </si>
  <si>
    <t>PAT5556</t>
  </si>
  <si>
    <t>PAT5557</t>
  </si>
  <si>
    <t>PAT5558</t>
  </si>
  <si>
    <t>PAT5559</t>
  </si>
  <si>
    <t>PAT5560</t>
  </si>
  <si>
    <t>PAT5561</t>
  </si>
  <si>
    <t>PAT5562</t>
  </si>
  <si>
    <t>PAT5563</t>
  </si>
  <si>
    <t>PAT5564</t>
  </si>
  <si>
    <t>PAT5565</t>
  </si>
  <si>
    <t>PAT5566</t>
  </si>
  <si>
    <t>PAT5567</t>
  </si>
  <si>
    <t>PAT5568</t>
  </si>
  <si>
    <t>PAT5569</t>
  </si>
  <si>
    <t>PAT5570</t>
  </si>
  <si>
    <t>PAT5571</t>
  </si>
  <si>
    <t>PAT5572</t>
  </si>
  <si>
    <t>PAT5573</t>
  </si>
  <si>
    <t>PAT5574</t>
  </si>
  <si>
    <t>PAT5575</t>
  </si>
  <si>
    <t>PAT5576</t>
  </si>
  <si>
    <t>PAT5577</t>
  </si>
  <si>
    <t>PAT5578</t>
  </si>
  <si>
    <t>PAT5579</t>
  </si>
  <si>
    <t>PAT5580</t>
  </si>
  <si>
    <t>PAT5581</t>
  </si>
  <si>
    <t>PAT5582</t>
  </si>
  <si>
    <t>PAT5583</t>
  </si>
  <si>
    <t>PAT5584</t>
  </si>
  <si>
    <t>PAT5585</t>
  </si>
  <si>
    <t>PAT5586</t>
  </si>
  <si>
    <t>PAT5587</t>
  </si>
  <si>
    <t>PAT5588</t>
  </si>
  <si>
    <t>PAT5589</t>
  </si>
  <si>
    <t>PAT5590</t>
  </si>
  <si>
    <t>PAT5591</t>
  </si>
  <si>
    <t>PAT5592</t>
  </si>
  <si>
    <t>PAT5593</t>
  </si>
  <si>
    <t>PAT5594</t>
  </si>
  <si>
    <t>PAT5595</t>
  </si>
  <si>
    <t>PAT5596</t>
  </si>
  <si>
    <t>PAT5597</t>
  </si>
  <si>
    <t>PAT5598</t>
  </si>
  <si>
    <t>PAT5599</t>
  </si>
  <si>
    <t>PAT5600</t>
  </si>
  <si>
    <t>PAT5601</t>
  </si>
  <si>
    <t>PAT5602</t>
  </si>
  <si>
    <t>PAT5603</t>
  </si>
  <si>
    <t>PAT5604</t>
  </si>
  <si>
    <t>PAT5605</t>
  </si>
  <si>
    <t>PAT5606</t>
  </si>
  <si>
    <t>PAT5607</t>
  </si>
  <si>
    <t>PAT5608</t>
  </si>
  <si>
    <t>PAT5609</t>
  </si>
  <si>
    <t>PAT5610</t>
  </si>
  <si>
    <t>PAT5611</t>
  </si>
  <si>
    <t>PAT5612</t>
  </si>
  <si>
    <t>PAT5613</t>
  </si>
  <si>
    <t>PAT5614</t>
  </si>
  <si>
    <t>PAT5615</t>
  </si>
  <si>
    <t>PAT5616</t>
  </si>
  <si>
    <t>PAT5617</t>
  </si>
  <si>
    <t>PAT5618</t>
  </si>
  <si>
    <t>PAT5619</t>
  </si>
  <si>
    <t>PAT5620</t>
  </si>
  <si>
    <t>PAT5621</t>
  </si>
  <si>
    <t>PAT5622</t>
  </si>
  <si>
    <t>PAT5623</t>
  </si>
  <si>
    <t>PAT5624</t>
  </si>
  <si>
    <t>PAT5625</t>
  </si>
  <si>
    <t>PAT5626</t>
  </si>
  <si>
    <t>PAT5627</t>
  </si>
  <si>
    <t>PAT5628</t>
  </si>
  <si>
    <t>PAT5629</t>
  </si>
  <si>
    <t>PAT5630</t>
  </si>
  <si>
    <t>PAT5631</t>
  </si>
  <si>
    <t>PAT5632</t>
  </si>
  <si>
    <t>PAT5633</t>
  </si>
  <si>
    <t>PAT5634</t>
  </si>
  <si>
    <t>PAT5635</t>
  </si>
  <si>
    <t>PAT5636</t>
  </si>
  <si>
    <t>PAT5637</t>
  </si>
  <si>
    <t>PAT5638</t>
  </si>
  <si>
    <t>PAT5639</t>
  </si>
  <si>
    <t>PAT5640</t>
  </si>
  <si>
    <t>PAT5641</t>
  </si>
  <si>
    <t>PAT5642</t>
  </si>
  <si>
    <t>PAT5643</t>
  </si>
  <si>
    <t>PAT5644</t>
  </si>
  <si>
    <t>PAT5645</t>
  </si>
  <si>
    <t>PAT5646</t>
  </si>
  <si>
    <t>PAT5647</t>
  </si>
  <si>
    <t>PAT5648</t>
  </si>
  <si>
    <t>PAT5649</t>
  </si>
  <si>
    <t>PAT5650</t>
  </si>
  <si>
    <t>PAT5651</t>
  </si>
  <si>
    <t>PAT5652</t>
  </si>
  <si>
    <t>PAT5653</t>
  </si>
  <si>
    <t>PAT5654</t>
  </si>
  <si>
    <t>PAT5655</t>
  </si>
  <si>
    <t>PAT5656</t>
  </si>
  <si>
    <t>PAT5657</t>
  </si>
  <si>
    <t>PAT5658</t>
  </si>
  <si>
    <t>PAT5659</t>
  </si>
  <si>
    <t>PAT5660</t>
  </si>
  <si>
    <t>PAT5661</t>
  </si>
  <si>
    <t>PAT5662</t>
  </si>
  <si>
    <t>PAT5663</t>
  </si>
  <si>
    <t>PAT5664</t>
  </si>
  <si>
    <t>PAT5665</t>
  </si>
  <si>
    <t>PAT5666</t>
  </si>
  <si>
    <t>PAT5667</t>
  </si>
  <si>
    <t>PAT5668</t>
  </si>
  <si>
    <t>PAT5669</t>
  </si>
  <si>
    <t>PAT5670</t>
  </si>
  <si>
    <t>PAT5671</t>
  </si>
  <si>
    <t>PAT5672</t>
  </si>
  <si>
    <t>PAT5673</t>
  </si>
  <si>
    <t>PAT5674</t>
  </si>
  <si>
    <t>PAT5675</t>
  </si>
  <si>
    <t>PAT5676</t>
  </si>
  <si>
    <t>PAT5677</t>
  </si>
  <si>
    <t>PAT5678</t>
  </si>
  <si>
    <t>PAT5679</t>
  </si>
  <si>
    <t>PAT5680</t>
  </si>
  <si>
    <t>PAT5681</t>
  </si>
  <si>
    <t>PAT5682</t>
  </si>
  <si>
    <t>PAT5683</t>
  </si>
  <si>
    <t>PAT5684</t>
  </si>
  <si>
    <t>PAT5685</t>
  </si>
  <si>
    <t>PAT5686</t>
  </si>
  <si>
    <t>PAT5687</t>
  </si>
  <si>
    <t>PAT5688</t>
  </si>
  <si>
    <t>PAT5689</t>
  </si>
  <si>
    <t>PAT5690</t>
  </si>
  <si>
    <t>PAT5691</t>
  </si>
  <si>
    <t>PAT5692</t>
  </si>
  <si>
    <t>PAT5693</t>
  </si>
  <si>
    <t>PAT5694</t>
  </si>
  <si>
    <t>PAT5695</t>
  </si>
  <si>
    <t>PAT5696</t>
  </si>
  <si>
    <t>PAT5697</t>
  </si>
  <si>
    <t>PAT5698</t>
  </si>
  <si>
    <t>PAT5699</t>
  </si>
  <si>
    <t>PAT5700</t>
  </si>
  <si>
    <t>PAT5701</t>
  </si>
  <si>
    <t>PAT5702</t>
  </si>
  <si>
    <t>PAT5703</t>
  </si>
  <si>
    <t>PAT5704</t>
  </si>
  <si>
    <t>PAT5705</t>
  </si>
  <si>
    <t>PAT5706</t>
  </si>
  <si>
    <t>PAT5707</t>
  </si>
  <si>
    <t>PAT5708</t>
  </si>
  <si>
    <t>PAT5709</t>
  </si>
  <si>
    <t>PAT5710</t>
  </si>
  <si>
    <t>PAT5711</t>
  </si>
  <si>
    <t>PAT5712</t>
  </si>
  <si>
    <t>PAT5713</t>
  </si>
  <si>
    <t>PAT5714</t>
  </si>
  <si>
    <t>PAT5715</t>
  </si>
  <si>
    <t>PAT5716</t>
  </si>
  <si>
    <t>PAT5717</t>
  </si>
  <si>
    <t>PAT5718</t>
  </si>
  <si>
    <t>PAT5719</t>
  </si>
  <si>
    <t>PAT5720</t>
  </si>
  <si>
    <t>PAT5721</t>
  </si>
  <si>
    <t>PAT5722</t>
  </si>
  <si>
    <t>PAT5723</t>
  </si>
  <si>
    <t>PAT5724</t>
  </si>
  <si>
    <t>PAT5725</t>
  </si>
  <si>
    <t>PAT5726</t>
  </si>
  <si>
    <t>PAT5727</t>
  </si>
  <si>
    <t>PAT5728</t>
  </si>
  <si>
    <t>PAT5729</t>
  </si>
  <si>
    <t>PAT5730</t>
  </si>
  <si>
    <t>PAT5731</t>
  </si>
  <si>
    <t>PAT5732</t>
  </si>
  <si>
    <t>PAT5733</t>
  </si>
  <si>
    <t>PAT5734</t>
  </si>
  <si>
    <t>PAT5735</t>
  </si>
  <si>
    <t>PAT5736</t>
  </si>
  <si>
    <t>PAT5737</t>
  </si>
  <si>
    <t>PAT5738</t>
  </si>
  <si>
    <t>PAT5739</t>
  </si>
  <si>
    <t>PAT5740</t>
  </si>
  <si>
    <t>PAT5741</t>
  </si>
  <si>
    <t>PAT5742</t>
  </si>
  <si>
    <t>PAT5743</t>
  </si>
  <si>
    <t>PAT5744</t>
  </si>
  <si>
    <t>PAT5745</t>
  </si>
  <si>
    <t>PAT5746</t>
  </si>
  <si>
    <t>PAT5747</t>
  </si>
  <si>
    <t>PAT5748</t>
  </si>
  <si>
    <t>PAT5749</t>
  </si>
  <si>
    <t>PAT5750</t>
  </si>
  <si>
    <t>PAT5751</t>
  </si>
  <si>
    <t>PAT5752</t>
  </si>
  <si>
    <t>PAT5753</t>
  </si>
  <si>
    <t>PAT5754</t>
  </si>
  <si>
    <t>PAT5755</t>
  </si>
  <si>
    <t>PAT5756</t>
  </si>
  <si>
    <t>PAT5757</t>
  </si>
  <si>
    <t>PAT5758</t>
  </si>
  <si>
    <t>PAT5759</t>
  </si>
  <si>
    <t>PAT5760</t>
  </si>
  <si>
    <t>PAT5761</t>
  </si>
  <si>
    <t>PAT5762</t>
  </si>
  <si>
    <t>PAT5763</t>
  </si>
  <si>
    <t>PAT5764</t>
  </si>
  <si>
    <t>PAT5765</t>
  </si>
  <si>
    <t>PAT5766</t>
  </si>
  <si>
    <t>PAT5767</t>
  </si>
  <si>
    <t>PAT5768</t>
  </si>
  <si>
    <t>PAT5769</t>
  </si>
  <si>
    <t>PAT5770</t>
  </si>
  <si>
    <t>PAT5771</t>
  </si>
  <si>
    <t>PAT5772</t>
  </si>
  <si>
    <t>PAT5773</t>
  </si>
  <si>
    <t>PAT5774</t>
  </si>
  <si>
    <t>PAT5775</t>
  </si>
  <si>
    <t>PAT5776</t>
  </si>
  <si>
    <t>PAT5777</t>
  </si>
  <si>
    <t>PAT5778</t>
  </si>
  <si>
    <t>PAT5779</t>
  </si>
  <si>
    <t>PAT5780</t>
  </si>
  <si>
    <t>PAT5781</t>
  </si>
  <si>
    <t>PAT5782</t>
  </si>
  <si>
    <t>PAT5783</t>
  </si>
  <si>
    <t>PAT5784</t>
  </si>
  <si>
    <t>PAT5785</t>
  </si>
  <si>
    <t>PAT5786</t>
  </si>
  <si>
    <t>PAT5787</t>
  </si>
  <si>
    <t>PAT5788</t>
  </si>
  <si>
    <t>PAT5789</t>
  </si>
  <si>
    <t>PAT5790</t>
  </si>
  <si>
    <t>PAT5791</t>
  </si>
  <si>
    <t>PAT5792</t>
  </si>
  <si>
    <t>PAT5793</t>
  </si>
  <si>
    <t>PAT5794</t>
  </si>
  <si>
    <t>PAT5795</t>
  </si>
  <si>
    <t>PAT5796</t>
  </si>
  <si>
    <t>PAT5797</t>
  </si>
  <si>
    <t>PAT5798</t>
  </si>
  <si>
    <t>PAT5799</t>
  </si>
  <si>
    <t>PAT5800</t>
  </si>
  <si>
    <t>PAT5801</t>
  </si>
  <si>
    <t>PAT5802</t>
  </si>
  <si>
    <t>PAT5803</t>
  </si>
  <si>
    <t>PAT5804</t>
  </si>
  <si>
    <t>PAT5805</t>
  </si>
  <si>
    <t>PAT5806</t>
  </si>
  <si>
    <t>PAT5807</t>
  </si>
  <si>
    <t>PAT5808</t>
  </si>
  <si>
    <t>PAT5809</t>
  </si>
  <si>
    <t>PAT5810</t>
  </si>
  <si>
    <t>PAT5811</t>
  </si>
  <si>
    <t>PAT5812</t>
  </si>
  <si>
    <t>PAT5813</t>
  </si>
  <si>
    <t>PAT5814</t>
  </si>
  <si>
    <t>PAT5815</t>
  </si>
  <si>
    <t>PAT5816</t>
  </si>
  <si>
    <t>PAT5817</t>
  </si>
  <si>
    <t>PAT5818</t>
  </si>
  <si>
    <t>PAT5819</t>
  </si>
  <si>
    <t>PAT5820</t>
  </si>
  <si>
    <t>PAT5821</t>
  </si>
  <si>
    <t>PAT5822</t>
  </si>
  <si>
    <t>PAT5823</t>
  </si>
  <si>
    <t>PAT5824</t>
  </si>
  <si>
    <t>PAT5825</t>
  </si>
  <si>
    <t>PAT5826</t>
  </si>
  <si>
    <t>PAT5827</t>
  </si>
  <si>
    <t>PAT5828</t>
  </si>
  <si>
    <t>PAT5829</t>
  </si>
  <si>
    <t>PAT5830</t>
  </si>
  <si>
    <t>PAT5831</t>
  </si>
  <si>
    <t>PAT5832</t>
  </si>
  <si>
    <t>PAT5833</t>
  </si>
  <si>
    <t>PAT5834</t>
  </si>
  <si>
    <t>PAT5835</t>
  </si>
  <si>
    <t>PAT5836</t>
  </si>
  <si>
    <t>PAT5837</t>
  </si>
  <si>
    <t>PAT5838</t>
  </si>
  <si>
    <t>PAT5839</t>
  </si>
  <si>
    <t>PAT5840</t>
  </si>
  <si>
    <t>PAT5841</t>
  </si>
  <si>
    <t>PAT5842</t>
  </si>
  <si>
    <t>PAT5843</t>
  </si>
  <si>
    <t>PAT5844</t>
  </si>
  <si>
    <t>PAT5845</t>
  </si>
  <si>
    <t>PAT5846</t>
  </si>
  <si>
    <t>PAT5847</t>
  </si>
  <si>
    <t>PAT5848</t>
  </si>
  <si>
    <t>PAT5849</t>
  </si>
  <si>
    <t>PAT5850</t>
  </si>
  <si>
    <t>PAT5851</t>
  </si>
  <si>
    <t>PAT5852</t>
  </si>
  <si>
    <t>PAT5853</t>
  </si>
  <si>
    <t>PAT5854</t>
  </si>
  <si>
    <t>PAT5855</t>
  </si>
  <si>
    <t>PAT5856</t>
  </si>
  <si>
    <t>PAT5857</t>
  </si>
  <si>
    <t>PAT5858</t>
  </si>
  <si>
    <t>PAT5859</t>
  </si>
  <si>
    <t>PAT5860</t>
  </si>
  <si>
    <t>PAT5861</t>
  </si>
  <si>
    <t>PAT5862</t>
  </si>
  <si>
    <t>PAT5863</t>
  </si>
  <si>
    <t>PAT5864</t>
  </si>
  <si>
    <t>PAT5865</t>
  </si>
  <si>
    <t>PAT5866</t>
  </si>
  <si>
    <t>PAT5867</t>
  </si>
  <si>
    <t>PAT5868</t>
  </si>
  <si>
    <t>PAT5869</t>
  </si>
  <si>
    <t>PAT5870</t>
  </si>
  <si>
    <t>PAT5871</t>
  </si>
  <si>
    <t>PAT5872</t>
  </si>
  <si>
    <t>PAT5873</t>
  </si>
  <si>
    <t>PAT5874</t>
  </si>
  <si>
    <t>PAT5875</t>
  </si>
  <si>
    <t>PAT5876</t>
  </si>
  <si>
    <t>PAT5877</t>
  </si>
  <si>
    <t>PAT5878</t>
  </si>
  <si>
    <t>PAT5879</t>
  </si>
  <si>
    <t>PAT5880</t>
  </si>
  <si>
    <t>PAT5881</t>
  </si>
  <si>
    <t>PAT5882</t>
  </si>
  <si>
    <t>PAT5883</t>
  </si>
  <si>
    <t>PAT5884</t>
  </si>
  <si>
    <t>PAT5885</t>
  </si>
  <si>
    <t>PAT5886</t>
  </si>
  <si>
    <t>PAT5887</t>
  </si>
  <si>
    <t>PAT5888</t>
  </si>
  <si>
    <t>PAT5889</t>
  </si>
  <si>
    <t>PAT5890</t>
  </si>
  <si>
    <t>PAT5891</t>
  </si>
  <si>
    <t>PAT5892</t>
  </si>
  <si>
    <t>PAT5893</t>
  </si>
  <si>
    <t>PAT5894</t>
  </si>
  <si>
    <t>PAT5895</t>
  </si>
  <si>
    <t>PAT5896</t>
  </si>
  <si>
    <t>PAT5897</t>
  </si>
  <si>
    <t>PAT5898</t>
  </si>
  <si>
    <t>PAT5899</t>
  </si>
  <si>
    <t>PAT5900</t>
  </si>
  <si>
    <t>PAT5901</t>
  </si>
  <si>
    <t>PAT5902</t>
  </si>
  <si>
    <t>PAT5903</t>
  </si>
  <si>
    <t>PAT5904</t>
  </si>
  <si>
    <t>PAT5905</t>
  </si>
  <si>
    <t>PAT5906</t>
  </si>
  <si>
    <t>PAT5907</t>
  </si>
  <si>
    <t>PAT5908</t>
  </si>
  <si>
    <t>PAT5909</t>
  </si>
  <si>
    <t>PAT5910</t>
  </si>
  <si>
    <t>PAT5911</t>
  </si>
  <si>
    <t>PAT5912</t>
  </si>
  <si>
    <t>PAT5913</t>
  </si>
  <si>
    <t>PAT5914</t>
  </si>
  <si>
    <t>PAT5915</t>
  </si>
  <si>
    <t>PAT5916</t>
  </si>
  <si>
    <t>PAT5917</t>
  </si>
  <si>
    <t>PAT5918</t>
  </si>
  <si>
    <t>PAT5919</t>
  </si>
  <si>
    <t>PAT5920</t>
  </si>
  <si>
    <t>PAT5921</t>
  </si>
  <si>
    <t>PAT5922</t>
  </si>
  <si>
    <t>PAT5923</t>
  </si>
  <si>
    <t>PAT5924</t>
  </si>
  <si>
    <t>PAT5925</t>
  </si>
  <si>
    <t>PAT5926</t>
  </si>
  <si>
    <t>PAT5927</t>
  </si>
  <si>
    <t>PAT5928</t>
  </si>
  <si>
    <t>PAT5929</t>
  </si>
  <si>
    <t>PAT5930</t>
  </si>
  <si>
    <t>PAT5931</t>
  </si>
  <si>
    <t>PAT5932</t>
  </si>
  <si>
    <t>PAT5933</t>
  </si>
  <si>
    <t>PAT5934</t>
  </si>
  <si>
    <t>PAT5935</t>
  </si>
  <si>
    <t>PAT5936</t>
  </si>
  <si>
    <t>PAT5937</t>
  </si>
  <si>
    <t>PAT5938</t>
  </si>
  <si>
    <t>PAT5939</t>
  </si>
  <si>
    <t>PAT5940</t>
  </si>
  <si>
    <t>PAT5941</t>
  </si>
  <si>
    <t>PAT5942</t>
  </si>
  <si>
    <t>PAT5943</t>
  </si>
  <si>
    <t>PAT5944</t>
  </si>
  <si>
    <t>PAT5945</t>
  </si>
  <si>
    <t>PAT5946</t>
  </si>
  <si>
    <t>PAT5947</t>
  </si>
  <si>
    <t>PAT5948</t>
  </si>
  <si>
    <t>PAT5949</t>
  </si>
  <si>
    <t>PAT5950</t>
  </si>
  <si>
    <t>PAT5951</t>
  </si>
  <si>
    <t>PAT5952</t>
  </si>
  <si>
    <t>PAT5953</t>
  </si>
  <si>
    <t>PAT5954</t>
  </si>
  <si>
    <t>PAT5955</t>
  </si>
  <si>
    <t>PAT5956</t>
  </si>
  <si>
    <t>PAT5957</t>
  </si>
  <si>
    <t>PAT5958</t>
  </si>
  <si>
    <t>PAT5959</t>
  </si>
  <si>
    <t>PAT5960</t>
  </si>
  <si>
    <t>PAT5961</t>
  </si>
  <si>
    <t>PAT5962</t>
  </si>
  <si>
    <t>PAT5963</t>
  </si>
  <si>
    <t>PAT5964</t>
  </si>
  <si>
    <t>PAT5965</t>
  </si>
  <si>
    <t>PAT5966</t>
  </si>
  <si>
    <t>PAT5967</t>
  </si>
  <si>
    <t>PAT5968</t>
  </si>
  <si>
    <t>PAT5969</t>
  </si>
  <si>
    <t>PAT5970</t>
  </si>
  <si>
    <t>PAT5971</t>
  </si>
  <si>
    <t>PAT5972</t>
  </si>
  <si>
    <t>PAT5973</t>
  </si>
  <si>
    <t>PAT5974</t>
  </si>
  <si>
    <t>PAT5975</t>
  </si>
  <si>
    <t>PAT5976</t>
  </si>
  <si>
    <t>PAT5977</t>
  </si>
  <si>
    <t>PAT5978</t>
  </si>
  <si>
    <t>PAT5979</t>
  </si>
  <si>
    <t>PAT5980</t>
  </si>
  <si>
    <t>PAT5981</t>
  </si>
  <si>
    <t>PAT5982</t>
  </si>
  <si>
    <t>PAT5983</t>
  </si>
  <si>
    <t>PAT5984</t>
  </si>
  <si>
    <t>PAT5985</t>
  </si>
  <si>
    <t>PAT5986</t>
  </si>
  <si>
    <t>PAT5987</t>
  </si>
  <si>
    <t>PAT5988</t>
  </si>
  <si>
    <t>PAT5989</t>
  </si>
  <si>
    <t>PAT5990</t>
  </si>
  <si>
    <t>PAT5991</t>
  </si>
  <si>
    <t>PAT5992</t>
  </si>
  <si>
    <t>PAT5993</t>
  </si>
  <si>
    <t>PAT5994</t>
  </si>
  <si>
    <t>PAT5995</t>
  </si>
  <si>
    <t>PAT5996</t>
  </si>
  <si>
    <t>PAT5997</t>
  </si>
  <si>
    <t>PAT5998</t>
  </si>
  <si>
    <t>PAT5999</t>
  </si>
  <si>
    <t>Age Group</t>
  </si>
  <si>
    <t>Row Labels</t>
  </si>
  <si>
    <t>0-17</t>
  </si>
  <si>
    <t>18-35</t>
  </si>
  <si>
    <t>36-50</t>
  </si>
  <si>
    <t>51-65</t>
  </si>
  <si>
    <t>66+</t>
  </si>
  <si>
    <t>Grand Total</t>
  </si>
  <si>
    <t>Average of Stay Duration (days)</t>
  </si>
  <si>
    <t>1. What is the average length of hospital stay for different age groups?</t>
  </si>
  <si>
    <t>Month</t>
  </si>
  <si>
    <t>Apr-2023</t>
  </si>
  <si>
    <t>Apr-2024</t>
  </si>
  <si>
    <t>Aug-2023</t>
  </si>
  <si>
    <t>Aug-2024</t>
  </si>
  <si>
    <t>Dec-2023</t>
  </si>
  <si>
    <t>Dec-2024</t>
  </si>
  <si>
    <t>Feb-2023</t>
  </si>
  <si>
    <t>Feb-2024</t>
  </si>
  <si>
    <t>Jan-2023</t>
  </si>
  <si>
    <t>Jan-2024</t>
  </si>
  <si>
    <t>Jul-2023</t>
  </si>
  <si>
    <t>Jul-2024</t>
  </si>
  <si>
    <t>Jun-2023</t>
  </si>
  <si>
    <t>Jun-2024</t>
  </si>
  <si>
    <t>Mar-2023</t>
  </si>
  <si>
    <t>Mar-2024</t>
  </si>
  <si>
    <t>May-2023</t>
  </si>
  <si>
    <t>May-2024</t>
  </si>
  <si>
    <t>Nov-2023</t>
  </si>
  <si>
    <t>Nov-2024</t>
  </si>
  <si>
    <t>Oct-2023</t>
  </si>
  <si>
    <t>Oct-2024</t>
  </si>
  <si>
    <t>Sep-2023</t>
  </si>
  <si>
    <t>Sep-2024</t>
  </si>
  <si>
    <t>Column Labels</t>
  </si>
  <si>
    <t>Count of Patient ID</t>
  </si>
  <si>
    <t>2. Which departments have the highest patient inflow per month?</t>
  </si>
  <si>
    <t>3. Which diseases or conditions are most frequently diagnosed?</t>
  </si>
  <si>
    <t>Average of Treatment Cost</t>
  </si>
  <si>
    <t>4. What is the average treatment cost for different diseases?</t>
  </si>
  <si>
    <t>5. Is there a seasonal trend in the number of hospital admissions?</t>
  </si>
  <si>
    <t>6. Which medications are most commonly prescribed by department?</t>
  </si>
  <si>
    <t>7. What percentage of patients have insurance coverage?</t>
  </si>
  <si>
    <t>Last Month</t>
  </si>
  <si>
    <t>Count of Doctor</t>
  </si>
  <si>
    <t>9. What is the doctor-to-patient ratio in each department?</t>
  </si>
  <si>
    <t>Count of Test Result</t>
  </si>
  <si>
    <t>10. Which diagnostic tests have the highest rejection or error rate?</t>
  </si>
  <si>
    <t>Waiting Time</t>
  </si>
  <si>
    <t>waiting time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</si>
</sst>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2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3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Average Hospital Stay by Age Group.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'Ans-1'!$B$3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'Ans-1'!$A$4:$A$9</c:f>
              <c:strCache>
                <c:ptCount val="5"/>
                <c:pt idx="0">
                  <c:v>0-17</c:v>
                </c:pt>
                <c:pt idx="1">
                  <c:v>18-35</c:v>
                </c:pt>
                <c:pt idx="2">
                  <c:v>36-50</c:v>
                </c:pt>
                <c:pt idx="3">
                  <c:v>51-65</c:v>
                </c:pt>
                <c:pt idx="4">
                  <c:v>66+</c:v>
                </c:pt>
              </c:strCache>
            </c:strRef>
          </c:cat>
          <c:val>
            <c:numRef>
              <c:f>'Ans-1'!$B$4:$B$9</c:f>
              <c:numCache>
                <c:formatCode>General</c:formatCode>
                <c:ptCount val="5"/>
                <c:pt idx="0">
                  <c:v>7.7441860465116283</c:v>
                </c:pt>
                <c:pt idx="1">
                  <c:v>7.7281553398058254</c:v>
                </c:pt>
                <c:pt idx="2">
                  <c:v>7.375</c:v>
                </c:pt>
                <c:pt idx="3">
                  <c:v>8.2072538860103634</c:v>
                </c:pt>
                <c:pt idx="4">
                  <c:v>8.1410256410256405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2-4EE6-8892-15E223EA318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89999087"/>
        <c:axId val="390001999"/>
      </c:lineChart>
      <c:catAx>
        <c:axId val="389999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01999"/>
        <c:crosses val="autoZero"/>
        <c:auto val="1"/>
        <c:lblAlgn val="ctr"/>
        <c:lblOffset val="100"/>
        <c:noMultiLvlLbl val="0"/>
      </c:catAx>
      <c:valAx>
        <c:axId val="3900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99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“Monthly Patient Inflow by Department”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'Ans-2'!$B$3:$B$4</c:f>
              <c:strCache>
                <c:ptCount val="1"/>
                <c:pt idx="0">
                  <c:v>Cardiology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'Ans-2'!$A$5:$A$29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'Ans-2'!$B$5:$B$29</c:f>
              <c:numCache>
                <c:formatCode>General</c:formatCode>
                <c:ptCount val="24"/>
                <c:pt idx="0">
                  <c:v>12</c:v>
                </c:pt>
                <c:pt idx="1">
                  <c:v>8</c:v>
                </c:pt>
                <c:pt idx="2">
                  <c:v>6</c:v>
                </c:pt>
                <c:pt idx="3">
                  <c:v>2</c:v>
                </c:pt>
                <c:pt idx="4">
                  <c:v>9</c:v>
                </c:pt>
                <c:pt idx="6">
                  <c:v>7</c:v>
                </c:pt>
                <c:pt idx="7">
                  <c:v>11</c:v>
                </c:pt>
                <c:pt idx="8">
                  <c:v>5</c:v>
                </c:pt>
                <c:pt idx="9">
                  <c:v>9</c:v>
                </c:pt>
                <c:pt idx="10">
                  <c:v>9</c:v>
                </c:pt>
                <c:pt idx="12">
                  <c:v>15</c:v>
                </c:pt>
                <c:pt idx="13">
                  <c:v>3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5</c:v>
                </c:pt>
                <c:pt idx="18">
                  <c:v>13</c:v>
                </c:pt>
                <c:pt idx="19">
                  <c:v>2</c:v>
                </c:pt>
                <c:pt idx="20">
                  <c:v>13</c:v>
                </c:pt>
                <c:pt idx="21">
                  <c:v>3</c:v>
                </c:pt>
                <c:pt idx="22">
                  <c:v>8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A-4DC9-B4C1-7E2F2CF024DD}"/>
            </c:ext>
          </c:extLst>
        </c:ser>
        <c:ser>
          <c:idx val="1"/>
          <c:order val="1"/>
          <c:tx>
            <c:strRef>
              <c:f>'Ans-2'!$C$3:$C$4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'Ans-2'!$A$5:$A$29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'Ans-2'!$C$5:$C$29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13</c:v>
                </c:pt>
                <c:pt idx="4">
                  <c:v>10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12</c:v>
                </c:pt>
                <c:pt idx="10">
                  <c:v>11</c:v>
                </c:pt>
                <c:pt idx="11">
                  <c:v>1</c:v>
                </c:pt>
                <c:pt idx="12">
                  <c:v>10</c:v>
                </c:pt>
                <c:pt idx="13">
                  <c:v>6</c:v>
                </c:pt>
                <c:pt idx="14">
                  <c:v>13</c:v>
                </c:pt>
                <c:pt idx="15">
                  <c:v>10</c:v>
                </c:pt>
                <c:pt idx="16">
                  <c:v>9</c:v>
                </c:pt>
                <c:pt idx="17">
                  <c:v>5</c:v>
                </c:pt>
                <c:pt idx="18">
                  <c:v>8</c:v>
                </c:pt>
                <c:pt idx="19">
                  <c:v>1</c:v>
                </c:pt>
                <c:pt idx="20">
                  <c:v>8</c:v>
                </c:pt>
                <c:pt idx="21">
                  <c:v>1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A-4DC9-B4C1-7E2F2CF024DD}"/>
            </c:ext>
          </c:extLst>
        </c:ser>
        <c:ser>
          <c:idx val="2"/>
          <c:order val="2"/>
          <c:tx>
            <c:strRef>
              <c:f>'Ans-2'!$D$3:$D$4</c:f>
              <c:strCache>
                <c:ptCount val="1"/>
                <c:pt idx="0">
                  <c:v>General Medicine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'Ans-2'!$A$5:$A$29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'Ans-2'!$D$5:$D$29</c:f>
              <c:numCache>
                <c:formatCode>General</c:formatCode>
                <c:ptCount val="24"/>
                <c:pt idx="0">
                  <c:v>14</c:v>
                </c:pt>
                <c:pt idx="1">
                  <c:v>8</c:v>
                </c:pt>
                <c:pt idx="2">
                  <c:v>11</c:v>
                </c:pt>
                <c:pt idx="3">
                  <c:v>2</c:v>
                </c:pt>
                <c:pt idx="4">
                  <c:v>13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9</c:v>
                </c:pt>
                <c:pt idx="10">
                  <c:v>6</c:v>
                </c:pt>
                <c:pt idx="11">
                  <c:v>1</c:v>
                </c:pt>
                <c:pt idx="12">
                  <c:v>9</c:v>
                </c:pt>
                <c:pt idx="13">
                  <c:v>2</c:v>
                </c:pt>
                <c:pt idx="14">
                  <c:v>12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11</c:v>
                </c:pt>
                <c:pt idx="20">
                  <c:v>14</c:v>
                </c:pt>
                <c:pt idx="21">
                  <c:v>2</c:v>
                </c:pt>
                <c:pt idx="22">
                  <c:v>12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5A-4DC9-B4C1-7E2F2CF024DD}"/>
            </c:ext>
          </c:extLst>
        </c:ser>
        <c:ser>
          <c:idx val="3"/>
          <c:order val="3"/>
          <c:tx>
            <c:strRef>
              <c:f>'Ans-2'!$E$3:$E$4</c:f>
              <c:strCache>
                <c:ptCount val="1"/>
                <c:pt idx="0">
                  <c:v>ICU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'Ans-2'!$A$5:$A$29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'Ans-2'!$E$5:$E$29</c:f>
              <c:numCache>
                <c:formatCode>General</c:formatCode>
                <c:ptCount val="24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4">
                  <c:v>3</c:v>
                </c:pt>
                <c:pt idx="5">
                  <c:v>1</c:v>
                </c:pt>
                <c:pt idx="6">
                  <c:v>16</c:v>
                </c:pt>
                <c:pt idx="7">
                  <c:v>7</c:v>
                </c:pt>
                <c:pt idx="8">
                  <c:v>13</c:v>
                </c:pt>
                <c:pt idx="9">
                  <c:v>5</c:v>
                </c:pt>
                <c:pt idx="10">
                  <c:v>10</c:v>
                </c:pt>
                <c:pt idx="11">
                  <c:v>1</c:v>
                </c:pt>
                <c:pt idx="12">
                  <c:v>10</c:v>
                </c:pt>
                <c:pt idx="13">
                  <c:v>5</c:v>
                </c:pt>
                <c:pt idx="14">
                  <c:v>14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20">
                  <c:v>14</c:v>
                </c:pt>
                <c:pt idx="21">
                  <c:v>5</c:v>
                </c:pt>
                <c:pt idx="22">
                  <c:v>14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5A-4DC9-B4C1-7E2F2CF024DD}"/>
            </c:ext>
          </c:extLst>
        </c:ser>
        <c:ser>
          <c:idx val="4"/>
          <c:order val="4"/>
          <c:tx>
            <c:strRef>
              <c:f>'Ans-2'!$F$3:$F$4</c:f>
              <c:strCache>
                <c:ptCount val="1"/>
                <c:pt idx="0">
                  <c:v>Neurology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'Ans-2'!$A$5:$A$29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'Ans-2'!$F$5:$F$29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16</c:v>
                </c:pt>
                <c:pt idx="4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10</c:v>
                </c:pt>
                <c:pt idx="9">
                  <c:v>9</c:v>
                </c:pt>
                <c:pt idx="10">
                  <c:v>14</c:v>
                </c:pt>
                <c:pt idx="11">
                  <c:v>1</c:v>
                </c:pt>
                <c:pt idx="12">
                  <c:v>10</c:v>
                </c:pt>
                <c:pt idx="13">
                  <c:v>3</c:v>
                </c:pt>
                <c:pt idx="14">
                  <c:v>7</c:v>
                </c:pt>
                <c:pt idx="15">
                  <c:v>14</c:v>
                </c:pt>
                <c:pt idx="16">
                  <c:v>8</c:v>
                </c:pt>
                <c:pt idx="17">
                  <c:v>2</c:v>
                </c:pt>
                <c:pt idx="18">
                  <c:v>9</c:v>
                </c:pt>
                <c:pt idx="19">
                  <c:v>3</c:v>
                </c:pt>
                <c:pt idx="20">
                  <c:v>10</c:v>
                </c:pt>
                <c:pt idx="21">
                  <c:v>2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5A-4DC9-B4C1-7E2F2CF024DD}"/>
            </c:ext>
          </c:extLst>
        </c:ser>
        <c:ser>
          <c:idx val="5"/>
          <c:order val="5"/>
          <c:tx>
            <c:strRef>
              <c:f>'Ans-2'!$G$3:$G$4</c:f>
              <c:strCache>
                <c:ptCount val="1"/>
                <c:pt idx="0">
                  <c:v>Orthopedics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'Ans-2'!$A$5:$A$29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'Ans-2'!$G$5:$G$29</c:f>
              <c:numCache>
                <c:formatCode>General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3</c:v>
                </c:pt>
                <c:pt idx="4">
                  <c:v>11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9</c:v>
                </c:pt>
                <c:pt idx="15">
                  <c:v>6</c:v>
                </c:pt>
                <c:pt idx="16">
                  <c:v>5</c:v>
                </c:pt>
                <c:pt idx="17">
                  <c:v>12</c:v>
                </c:pt>
                <c:pt idx="18">
                  <c:v>9</c:v>
                </c:pt>
                <c:pt idx="19">
                  <c:v>4</c:v>
                </c:pt>
                <c:pt idx="20">
                  <c:v>5</c:v>
                </c:pt>
                <c:pt idx="21">
                  <c:v>2</c:v>
                </c:pt>
                <c:pt idx="22">
                  <c:v>8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5A-4DC9-B4C1-7E2F2CF024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4461855"/>
        <c:axId val="314473087"/>
      </c:barChart>
      <c:catAx>
        <c:axId val="314461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73087"/>
        <c:crosses val="autoZero"/>
        <c:auto val="1"/>
        <c:lblAlgn val="ctr"/>
        <c:lblOffset val="100"/>
        <c:noMultiLvlLbl val="0"/>
      </c:catAx>
      <c:valAx>
        <c:axId val="3144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6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“Most Frequently Diagnosed Diseases”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'Ans-3'!$B$3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'Ans-3'!$A$4:$A$10</c:f>
              <c:strCache>
                <c:ptCount val="6"/>
                <c:pt idx="0">
                  <c:v>Diabetes</c:v>
                </c:pt>
                <c:pt idx="1">
                  <c:v>Flu</c:v>
                </c:pt>
                <c:pt idx="2">
                  <c:v>Fracture</c:v>
                </c:pt>
                <c:pt idx="3">
                  <c:v>Heart Disease</c:v>
                </c:pt>
                <c:pt idx="4">
                  <c:v>Hypertension</c:v>
                </c:pt>
                <c:pt idx="5">
                  <c:v>Migraine</c:v>
                </c:pt>
              </c:strCache>
            </c:strRef>
          </c:cat>
          <c:val>
            <c:numRef>
              <c:f>'Ans-3'!$B$4:$B$10</c:f>
              <c:numCache>
                <c:formatCode>General</c:formatCode>
                <c:ptCount val="6"/>
                <c:pt idx="0">
                  <c:v>173</c:v>
                </c:pt>
                <c:pt idx="1">
                  <c:v>170</c:v>
                </c:pt>
                <c:pt idx="2">
                  <c:v>185</c:v>
                </c:pt>
                <c:pt idx="3">
                  <c:v>167</c:v>
                </c:pt>
                <c:pt idx="4">
                  <c:v>157</c:v>
                </c:pt>
                <c:pt idx="5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C-46E1-B074-D330DA380A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45587919"/>
        <c:axId val="545588335"/>
      </c:barChart>
      <c:catAx>
        <c:axId val="5455879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88335"/>
        <c:crosses val="autoZero"/>
        <c:auto val="1"/>
        <c:lblAlgn val="ctr"/>
        <c:lblOffset val="100"/>
        <c:noMultiLvlLbl val="0"/>
      </c:catAx>
      <c:valAx>
        <c:axId val="54558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87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“Average Treatment Cost by Disease”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'Ans-4'!$B$3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'Ans-4'!$A$4:$A$10</c:f>
              <c:strCache>
                <c:ptCount val="6"/>
                <c:pt idx="0">
                  <c:v>Diabetes</c:v>
                </c:pt>
                <c:pt idx="1">
                  <c:v>Flu</c:v>
                </c:pt>
                <c:pt idx="2">
                  <c:v>Fracture</c:v>
                </c:pt>
                <c:pt idx="3">
                  <c:v>Heart Disease</c:v>
                </c:pt>
                <c:pt idx="4">
                  <c:v>Hypertension</c:v>
                </c:pt>
                <c:pt idx="5">
                  <c:v>Migraine</c:v>
                </c:pt>
              </c:strCache>
            </c:strRef>
          </c:cat>
          <c:val>
            <c:numRef>
              <c:f>'Ans-4'!$B$4:$B$10</c:f>
              <c:numCache>
                <c:formatCode>General</c:formatCode>
                <c:ptCount val="6"/>
                <c:pt idx="0">
                  <c:v>25417.352601156068</c:v>
                </c:pt>
                <c:pt idx="1">
                  <c:v>26497.3</c:v>
                </c:pt>
                <c:pt idx="2">
                  <c:v>28021.789189189189</c:v>
                </c:pt>
                <c:pt idx="3">
                  <c:v>27130.820359281439</c:v>
                </c:pt>
                <c:pt idx="4">
                  <c:v>27084.993630573248</c:v>
                </c:pt>
                <c:pt idx="5">
                  <c:v>26460.027027027027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7-42EE-A60A-7916B97D3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5610383"/>
        <c:axId val="545592495"/>
      </c:barChart>
      <c:catAx>
        <c:axId val="54561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92495"/>
        <c:crosses val="autoZero"/>
        <c:auto val="1"/>
        <c:lblAlgn val="ctr"/>
        <c:lblOffset val="100"/>
        <c:noMultiLvlLbl val="0"/>
      </c:catAx>
      <c:valAx>
        <c:axId val="5455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103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“Monthly Hospital Admissions Trend”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'Ans-5'!$B$3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'Ans-5'!$A$4:$A$28</c:f>
              <c:strCache>
                <c:ptCount val="24"/>
                <c:pt idx="0">
                  <c:v>Apr-2023</c:v>
                </c:pt>
                <c:pt idx="1">
                  <c:v>Apr-2024</c:v>
                </c:pt>
                <c:pt idx="2">
                  <c:v>Aug-2023</c:v>
                </c:pt>
                <c:pt idx="3">
                  <c:v>Aug-2024</c:v>
                </c:pt>
                <c:pt idx="4">
                  <c:v>Dec-2023</c:v>
                </c:pt>
                <c:pt idx="5">
                  <c:v>Dec-2024</c:v>
                </c:pt>
                <c:pt idx="6">
                  <c:v>Feb-2023</c:v>
                </c:pt>
                <c:pt idx="7">
                  <c:v>Feb-2024</c:v>
                </c:pt>
                <c:pt idx="8">
                  <c:v>Jan-2023</c:v>
                </c:pt>
                <c:pt idx="9">
                  <c:v>Jan-2024</c:v>
                </c:pt>
                <c:pt idx="10">
                  <c:v>Jul-2023</c:v>
                </c:pt>
                <c:pt idx="11">
                  <c:v>Jul-2024</c:v>
                </c:pt>
                <c:pt idx="12">
                  <c:v>Jun-2023</c:v>
                </c:pt>
                <c:pt idx="13">
                  <c:v>Jun-2024</c:v>
                </c:pt>
                <c:pt idx="14">
                  <c:v>Mar-2023</c:v>
                </c:pt>
                <c:pt idx="15">
                  <c:v>Mar-2024</c:v>
                </c:pt>
                <c:pt idx="16">
                  <c:v>May-2023</c:v>
                </c:pt>
                <c:pt idx="17">
                  <c:v>May-2024</c:v>
                </c:pt>
                <c:pt idx="18">
                  <c:v>Nov-2023</c:v>
                </c:pt>
                <c:pt idx="19">
                  <c:v>Nov-2024</c:v>
                </c:pt>
                <c:pt idx="20">
                  <c:v>Oct-2023</c:v>
                </c:pt>
                <c:pt idx="21">
                  <c:v>Oct-2024</c:v>
                </c:pt>
                <c:pt idx="22">
                  <c:v>Sep-2023</c:v>
                </c:pt>
                <c:pt idx="23">
                  <c:v>Sep-2024</c:v>
                </c:pt>
              </c:strCache>
            </c:strRef>
          </c:cat>
          <c:val>
            <c:numRef>
              <c:f>'Ans-5'!$B$4:$B$28</c:f>
              <c:numCache>
                <c:formatCode>General</c:formatCode>
                <c:ptCount val="24"/>
                <c:pt idx="0">
                  <c:v>63</c:v>
                </c:pt>
                <c:pt idx="1">
                  <c:v>49</c:v>
                </c:pt>
                <c:pt idx="2">
                  <c:v>67</c:v>
                </c:pt>
                <c:pt idx="3">
                  <c:v>7</c:v>
                </c:pt>
                <c:pt idx="4">
                  <c:v>55</c:v>
                </c:pt>
                <c:pt idx="5">
                  <c:v>10</c:v>
                </c:pt>
                <c:pt idx="6">
                  <c:v>51</c:v>
                </c:pt>
                <c:pt idx="7">
                  <c:v>43</c:v>
                </c:pt>
                <c:pt idx="8">
                  <c:v>52</c:v>
                </c:pt>
                <c:pt idx="9">
                  <c:v>48</c:v>
                </c:pt>
                <c:pt idx="10">
                  <c:v>54</c:v>
                </c:pt>
                <c:pt idx="11">
                  <c:v>6</c:v>
                </c:pt>
                <c:pt idx="12">
                  <c:v>57</c:v>
                </c:pt>
                <c:pt idx="13">
                  <c:v>23</c:v>
                </c:pt>
                <c:pt idx="14">
                  <c:v>62</c:v>
                </c:pt>
                <c:pt idx="15">
                  <c:v>52</c:v>
                </c:pt>
                <c:pt idx="16">
                  <c:v>45</c:v>
                </c:pt>
                <c:pt idx="17">
                  <c:v>39</c:v>
                </c:pt>
                <c:pt idx="18">
                  <c:v>58</c:v>
                </c:pt>
                <c:pt idx="19">
                  <c:v>10</c:v>
                </c:pt>
                <c:pt idx="20">
                  <c:v>64</c:v>
                </c:pt>
                <c:pt idx="21">
                  <c:v>15</c:v>
                </c:pt>
                <c:pt idx="22">
                  <c:v>56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D-4D36-B875-CB42F2114D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0649855"/>
        <c:axId val="540642367"/>
      </c:lineChart>
      <c:catAx>
        <c:axId val="54064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42367"/>
        <c:crosses val="autoZero"/>
        <c:auto val="1"/>
        <c:lblAlgn val="ctr"/>
        <c:lblOffset val="100"/>
        <c:noMultiLvlLbl val="0"/>
      </c:catAx>
      <c:valAx>
        <c:axId val="5406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4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(1).xlsx]Ans-6!PivotTable8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“Most Common Medications by Department”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'Ans-6'!$B$3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multiLvlStrRef>
              <c:f>'Ans-6'!$A$4:$A$40</c:f>
              <c:multiLvlStrCache>
                <c:ptCount val="30"/>
                <c:lvl>
                  <c:pt idx="0">
                    <c:v>MedA</c:v>
                  </c:pt>
                  <c:pt idx="1">
                    <c:v>MedB</c:v>
                  </c:pt>
                  <c:pt idx="2">
                    <c:v>MedC</c:v>
                  </c:pt>
                  <c:pt idx="3">
                    <c:v>MedD</c:v>
                  </c:pt>
                  <c:pt idx="4">
                    <c:v>MedE</c:v>
                  </c:pt>
                  <c:pt idx="5">
                    <c:v>MedA</c:v>
                  </c:pt>
                  <c:pt idx="6">
                    <c:v>MedB</c:v>
                  </c:pt>
                  <c:pt idx="7">
                    <c:v>MedC</c:v>
                  </c:pt>
                  <c:pt idx="8">
                    <c:v>MedD</c:v>
                  </c:pt>
                  <c:pt idx="9">
                    <c:v>MedE</c:v>
                  </c:pt>
                  <c:pt idx="10">
                    <c:v>MedA</c:v>
                  </c:pt>
                  <c:pt idx="11">
                    <c:v>MedB</c:v>
                  </c:pt>
                  <c:pt idx="12">
                    <c:v>MedC</c:v>
                  </c:pt>
                  <c:pt idx="13">
                    <c:v>MedD</c:v>
                  </c:pt>
                  <c:pt idx="14">
                    <c:v>MedE</c:v>
                  </c:pt>
                  <c:pt idx="15">
                    <c:v>MedA</c:v>
                  </c:pt>
                  <c:pt idx="16">
                    <c:v>MedB</c:v>
                  </c:pt>
                  <c:pt idx="17">
                    <c:v>MedC</c:v>
                  </c:pt>
                  <c:pt idx="18">
                    <c:v>MedD</c:v>
                  </c:pt>
                  <c:pt idx="19">
                    <c:v>MedE</c:v>
                  </c:pt>
                  <c:pt idx="20">
                    <c:v>MedA</c:v>
                  </c:pt>
                  <c:pt idx="21">
                    <c:v>MedB</c:v>
                  </c:pt>
                  <c:pt idx="22">
                    <c:v>MedC</c:v>
                  </c:pt>
                  <c:pt idx="23">
                    <c:v>MedD</c:v>
                  </c:pt>
                  <c:pt idx="24">
                    <c:v>MedE</c:v>
                  </c:pt>
                  <c:pt idx="25">
                    <c:v>MedA</c:v>
                  </c:pt>
                  <c:pt idx="26">
                    <c:v>MedB</c:v>
                  </c:pt>
                  <c:pt idx="27">
                    <c:v>MedC</c:v>
                  </c:pt>
                  <c:pt idx="28">
                    <c:v>MedD</c:v>
                  </c:pt>
                  <c:pt idx="29">
                    <c:v>MedE</c:v>
                  </c:pt>
                </c:lvl>
                <c:lvl>
                  <c:pt idx="0">
                    <c:v>Cardiology</c:v>
                  </c:pt>
                  <c:pt idx="5">
                    <c:v>Emergency</c:v>
                  </c:pt>
                  <c:pt idx="10">
                    <c:v>General Medicine</c:v>
                  </c:pt>
                  <c:pt idx="15">
                    <c:v>ICU</c:v>
                  </c:pt>
                  <c:pt idx="20">
                    <c:v>Neurology</c:v>
                  </c:pt>
                  <c:pt idx="25">
                    <c:v>Orthopedics</c:v>
                  </c:pt>
                </c:lvl>
              </c:multiLvlStrCache>
            </c:multiLvlStrRef>
          </c:cat>
          <c:val>
            <c:numRef>
              <c:f>'Ans-6'!$B$4:$B$40</c:f>
              <c:numCache>
                <c:formatCode>General</c:formatCode>
                <c:ptCount val="30"/>
                <c:pt idx="0">
                  <c:v>31</c:v>
                </c:pt>
                <c:pt idx="1">
                  <c:v>31</c:v>
                </c:pt>
                <c:pt idx="2">
                  <c:v>34</c:v>
                </c:pt>
                <c:pt idx="3">
                  <c:v>35</c:v>
                </c:pt>
                <c:pt idx="4">
                  <c:v>34</c:v>
                </c:pt>
                <c:pt idx="5">
                  <c:v>35</c:v>
                </c:pt>
                <c:pt idx="6">
                  <c:v>29</c:v>
                </c:pt>
                <c:pt idx="7">
                  <c:v>39</c:v>
                </c:pt>
                <c:pt idx="8">
                  <c:v>29</c:v>
                </c:pt>
                <c:pt idx="9">
                  <c:v>34</c:v>
                </c:pt>
                <c:pt idx="10">
                  <c:v>26</c:v>
                </c:pt>
                <c:pt idx="11">
                  <c:v>37</c:v>
                </c:pt>
                <c:pt idx="12">
                  <c:v>39</c:v>
                </c:pt>
                <c:pt idx="13">
                  <c:v>39</c:v>
                </c:pt>
                <c:pt idx="14">
                  <c:v>40</c:v>
                </c:pt>
                <c:pt idx="15">
                  <c:v>45</c:v>
                </c:pt>
                <c:pt idx="16">
                  <c:v>35</c:v>
                </c:pt>
                <c:pt idx="17">
                  <c:v>27</c:v>
                </c:pt>
                <c:pt idx="18">
                  <c:v>35</c:v>
                </c:pt>
                <c:pt idx="19">
                  <c:v>37</c:v>
                </c:pt>
                <c:pt idx="20">
                  <c:v>25</c:v>
                </c:pt>
                <c:pt idx="21">
                  <c:v>40</c:v>
                </c:pt>
                <c:pt idx="22">
                  <c:v>36</c:v>
                </c:pt>
                <c:pt idx="23">
                  <c:v>44</c:v>
                </c:pt>
                <c:pt idx="24">
                  <c:v>28</c:v>
                </c:pt>
                <c:pt idx="25">
                  <c:v>24</c:v>
                </c:pt>
                <c:pt idx="26">
                  <c:v>25</c:v>
                </c:pt>
                <c:pt idx="27">
                  <c:v>23</c:v>
                </c:pt>
                <c:pt idx="28">
                  <c:v>37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9-4C48-BE4B-BA75C4F019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0692703"/>
        <c:axId val="540701855"/>
      </c:lineChart>
      <c:catAx>
        <c:axId val="540692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01855"/>
        <c:crosses val="autoZero"/>
        <c:auto val="1"/>
        <c:lblAlgn val="ctr"/>
        <c:lblOffset val="100"/>
        <c:noMultiLvlLbl val="0"/>
      </c:catAx>
      <c:valAx>
        <c:axId val="540701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9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(1).xlsx]Ans-7!PivotTable9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“Insurance Coverage of Patients (%)”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'Ans-7'!$B$3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FA-4789-BCC3-A302056EAD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FA-4789-BCC3-A302056EAD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'Ans-7'!$A$4:$A$6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'Ans-7'!$B$4:$B$6</c:f>
              <c:numCache>
                <c:formatCode>0.00%</c:formatCode>
                <c:ptCount val="2"/>
                <c:pt idx="0">
                  <c:v>0.38300000000000001</c:v>
                </c:pt>
                <c:pt idx="1">
                  <c:v>0.61699999999999999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E-4ABA-9D1F-9738F19213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(1).xlsx]Ans-9!PivotTable18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Total patients and doctor in each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'Ans-9'!$B$3</c:f>
              <c:strCache>
                <c:ptCount val="1"/>
                <c:pt idx="0">
                  <c:v>Count of Patient 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'Ans-9'!$A$4:$A$10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'Ans-9'!$B$4:$B$10</c:f>
              <c:numCache>
                <c:formatCode>General</c:formatCode>
                <c:ptCount val="6"/>
                <c:pt idx="0">
                  <c:v>165</c:v>
                </c:pt>
                <c:pt idx="1">
                  <c:v>166</c:v>
                </c:pt>
                <c:pt idx="2">
                  <c:v>181</c:v>
                </c:pt>
                <c:pt idx="3">
                  <c:v>179</c:v>
                </c:pt>
                <c:pt idx="4">
                  <c:v>173</c:v>
                </c:pt>
                <c:pt idx="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7-4365-AD8C-A519A3FFC520}"/>
            </c:ext>
          </c:extLst>
        </c:ser>
        <c:ser>
          <c:idx val="1"/>
          <c:order val="1"/>
          <c:tx>
            <c:strRef>
              <c:f>'Ans-9'!$C$3</c:f>
              <c:strCache>
                <c:ptCount val="1"/>
                <c:pt idx="0">
                  <c:v>Count of Doctor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'Ans-9'!$A$4:$A$10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Orthopedics</c:v>
                </c:pt>
              </c:strCache>
            </c:strRef>
          </c:cat>
          <c:val>
            <c:numRef>
              <c:f>'Ans-9'!$C$4:$C$10</c:f>
              <c:numCache>
                <c:formatCode>General</c:formatCode>
                <c:ptCount val="6"/>
                <c:pt idx="0">
                  <c:v>165</c:v>
                </c:pt>
                <c:pt idx="1">
                  <c:v>166</c:v>
                </c:pt>
                <c:pt idx="2">
                  <c:v>181</c:v>
                </c:pt>
                <c:pt idx="3">
                  <c:v>179</c:v>
                </c:pt>
                <c:pt idx="4">
                  <c:v>173</c:v>
                </c:pt>
                <c:pt idx="5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17-4365-AD8C-A519A3FFC5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6024511"/>
        <c:axId val="316024927"/>
      </c:barChart>
      <c:catAx>
        <c:axId val="31602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24927"/>
        <c:crosses val="autoZero"/>
        <c:auto val="1"/>
        <c:lblAlgn val="ctr"/>
        <c:lblOffset val="100"/>
        <c:noMultiLvlLbl val="0"/>
      </c:catAx>
      <c:valAx>
        <c:axId val="31602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024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(1).xlsx]Ans-10!PivotTable1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'Ans-10'!$B$3:$B$4</c:f>
              <c:strCache>
                <c:ptCount val="1"/>
                <c:pt idx="0">
                  <c:v>Accepted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'Ans-10'!$A$5:$A$10</c:f>
              <c:strCache>
                <c:ptCount val="5"/>
                <c:pt idx="0">
                  <c:v>Blood Test</c:v>
                </c:pt>
                <c:pt idx="1">
                  <c:v>CT Scan</c:v>
                </c:pt>
                <c:pt idx="2">
                  <c:v>MRI</c:v>
                </c:pt>
                <c:pt idx="3">
                  <c:v>Ultrasound</c:v>
                </c:pt>
                <c:pt idx="4">
                  <c:v>X-Ray</c:v>
                </c:pt>
              </c:strCache>
            </c:strRef>
          </c:cat>
          <c:val>
            <c:numRef>
              <c:f>'Ans-10'!$B$5:$B$10</c:f>
              <c:numCache>
                <c:formatCode>General</c:formatCode>
                <c:ptCount val="5"/>
                <c:pt idx="0">
                  <c:v>172</c:v>
                </c:pt>
                <c:pt idx="1">
                  <c:v>203</c:v>
                </c:pt>
                <c:pt idx="2">
                  <c:v>166</c:v>
                </c:pt>
                <c:pt idx="3">
                  <c:v>199</c:v>
                </c:pt>
                <c:pt idx="4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0-41D0-BE55-75EB1B390623}"/>
            </c:ext>
          </c:extLst>
        </c:ser>
        <c:ser>
          <c:idx val="1"/>
          <c:order val="1"/>
          <c:tx>
            <c:strRef>
              <c:f>'Ans-10'!$C$3:$C$4</c:f>
              <c:strCache>
                <c:ptCount val="1"/>
                <c:pt idx="0">
                  <c:v>Rejected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'Ans-10'!$A$5:$A$10</c:f>
              <c:strCache>
                <c:ptCount val="5"/>
                <c:pt idx="0">
                  <c:v>Blood Test</c:v>
                </c:pt>
                <c:pt idx="1">
                  <c:v>CT Scan</c:v>
                </c:pt>
                <c:pt idx="2">
                  <c:v>MRI</c:v>
                </c:pt>
                <c:pt idx="3">
                  <c:v>Ultrasound</c:v>
                </c:pt>
                <c:pt idx="4">
                  <c:v>X-Ray</c:v>
                </c:pt>
              </c:strCache>
            </c:strRef>
          </c:cat>
          <c:val>
            <c:numRef>
              <c:f>'Ans-10'!$C$5:$C$10</c:f>
              <c:numCache>
                <c:formatCode>General</c:formatCode>
                <c:ptCount val="5"/>
                <c:pt idx="0">
                  <c:v>13</c:v>
                </c:pt>
                <c:pt idx="1">
                  <c:v>17</c:v>
                </c:pt>
                <c:pt idx="2">
                  <c:v>22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10-41D0-BE55-75EB1B3906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marker val="1"/>
        <c:smooth val="0"/>
        <c:axId val="1347168399"/>
        <c:axId val="1347174639"/>
      </c:lineChart>
      <c:catAx>
        <c:axId val="134716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74639"/>
        <c:crosses val="autoZero"/>
        <c:auto val="1"/>
        <c:lblAlgn val="ctr"/>
        <c:lblOffset val="100"/>
        <c:noMultiLvlLbl val="0"/>
      </c:catAx>
      <c:valAx>
        <c:axId val="13471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68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643890</xdr:colOff>
      <xdr:row>1</xdr:row>
      <xdr:rowOff>167640</xdr:rowOff>
    </xdr:from>
    <xdr:to>
      <xdr:col>10</xdr:col>
      <xdr:colOff>655320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9CC56-C45D-44E0-8439-A70916ABD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1223010</xdr:colOff>
      <xdr:row>30</xdr:row>
      <xdr:rowOff>15240</xdr:rowOff>
    </xdr:from>
    <xdr:to>
      <xdr:col>10</xdr:col>
      <xdr:colOff>632460</xdr:colOff>
      <xdr:row>55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51823-4580-480E-841E-94D15358D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0</xdr:rowOff>
    </xdr:from>
    <xdr:to>
      <xdr:col>12</xdr:col>
      <xdr:colOff>7620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E4DE7-441A-4FB7-B163-30BE19C6D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2</xdr:row>
      <xdr:rowOff>22860</xdr:rowOff>
    </xdr:from>
    <xdr:to>
      <xdr:col>12</xdr:col>
      <xdr:colOff>426720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014B1-BF29-4CB7-B0B6-5A8C06EFC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3</xdr:row>
      <xdr:rowOff>160020</xdr:rowOff>
    </xdr:from>
    <xdr:to>
      <xdr:col>11</xdr:col>
      <xdr:colOff>601980</xdr:colOff>
      <xdr:row>27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07C56-3AB6-4759-B70B-735EB7C5F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2</xdr:row>
      <xdr:rowOff>0</xdr:rowOff>
    </xdr:from>
    <xdr:to>
      <xdr:col>12</xdr:col>
      <xdr:colOff>266700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A0158-E0F2-4B7C-97C2-3D67EA9C6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</xdr:row>
      <xdr:rowOff>167640</xdr:rowOff>
    </xdr:from>
    <xdr:to>
      <xdr:col>10</xdr:col>
      <xdr:colOff>655320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C31F7-9D63-4D3A-B8A8-DD434F8F9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308610</xdr:colOff>
      <xdr:row>2</xdr:row>
      <xdr:rowOff>30480</xdr:rowOff>
    </xdr:from>
    <xdr:to>
      <xdr:col>13</xdr:col>
      <xdr:colOff>76200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1829B-7BB5-4480-A513-16B9EF162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1</xdr:row>
      <xdr:rowOff>160020</xdr:rowOff>
    </xdr:from>
    <xdr:to>
      <xdr:col>13</xdr:col>
      <xdr:colOff>7620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63693-FEDC-42DD-AE88-F9A5850BF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0.737158217591" createdVersion="7" refreshedVersion="7" minRefreshableVersion="3" recordCount="1000" xr:uid="{3410396C-4DE0-4C25-A9DE-477E5222FF69}">
  <cacheSource type="worksheet">
    <worksheetSource ref="A1:Z1001" sheet="HealthCare"/>
  </cacheSource>
  <cacheFields count="22">
    <cacheField name="Patient ID" numFmtId="0">
      <sharedItems/>
    </cacheField>
    <cacheField name="Age" numFmtId="0">
      <sharedItems containsSemiMixedTypes="0" containsString="0" containsNumber="1" containsInteger="1" minValue="1" maxValue="89"/>
    </cacheField>
    <cacheField name="Age Group" numFmtId="0">
      <sharedItems count="5">
        <s v="51-65"/>
        <s v="0-17"/>
        <s v="66+"/>
        <s v="18-35"/>
        <s v="36-50"/>
      </sharedItems>
    </cacheField>
    <cacheField name="Department" numFmtId="0">
      <sharedItems count="6">
        <s v="Neurology"/>
        <s v="ICU"/>
        <s v="General Medicine"/>
        <s v="Emergency"/>
        <s v="Cardiology"/>
        <s v="Orthopedics"/>
      </sharedItems>
    </cacheField>
    <cacheField name="Admission Date" numFmtId="22">
      <sharedItems containsSemiMixedTypes="0" containsNonDate="0" containsDate="1" containsString="0" minDate="2023-01-01T00:00:00" maxDate="2024-12-06T00:00:00"/>
    </cacheField>
    <cacheField name="Discharge Date" numFmtId="22">
      <sharedItems containsSemiMixedTypes="0" containsNonDate="0" containsDate="1" containsString="0" minDate="2023-01-02T00:00:00" maxDate="2024-12-07T00:00:00"/>
    </cacheField>
    <cacheField name="Stay Duration (days)" numFmtId="0">
      <sharedItems containsSemiMixedTypes="0" containsString="0" containsNumber="1" containsInteger="1" minValue="1" maxValue="15"/>
    </cacheField>
    <cacheField name="Disease/Condition" numFmtId="0">
      <sharedItems count="6">
        <s v="Heart Disease"/>
        <s v="Fracture"/>
        <s v="Hypertension"/>
        <s v="Diabetes"/>
        <s v="Flu"/>
        <s v="Migraine"/>
      </sharedItems>
    </cacheField>
    <cacheField name="Satisfaction Score" numFmtId="0">
      <sharedItems containsSemiMixedTypes="0" containsString="0" containsNumber="1" containsInteger="1" minValue="1" maxValue="5"/>
    </cacheField>
    <cacheField name="Doctor" numFmtId="0">
      <sharedItems/>
    </cacheField>
    <cacheField name="Treatment Cost" numFmtId="0">
      <sharedItems containsSemiMixedTypes="0" containsString="0" containsNumber="1" containsInteger="1" minValue="5002" maxValue="49990"/>
    </cacheField>
    <cacheField name="Medication" numFmtId="0">
      <sharedItems count="5">
        <s v="MedC"/>
        <s v="MedE"/>
        <s v="MedA"/>
        <s v="MedD"/>
        <s v="MedB"/>
      </sharedItems>
    </cacheField>
    <cacheField name="Has Insurance" numFmtId="0">
      <sharedItems count="2">
        <s v="No"/>
        <s v="Yes"/>
      </sharedItems>
    </cacheField>
    <cacheField name="Case Type" numFmtId="0">
      <sharedItems count="2">
        <s v="Routine"/>
        <s v="Emergency"/>
      </sharedItems>
    </cacheField>
    <cacheField name="Appointment Date" numFmtId="22">
      <sharedItems containsSemiMixedTypes="0" containsNonDate="0" containsDate="1" containsString="0" minDate="2022-12-28T00:00:00" maxDate="2024-12-06T00:00:00"/>
    </cacheField>
    <cacheField name="Consultation Date" numFmtId="22">
      <sharedItems containsSemiMixedTypes="0" containsNonDate="0" containsDate="1" containsString="0" minDate="2022-12-28T17:00:00" maxDate="2024-12-06T21:00:00"/>
    </cacheField>
    <cacheField name="Test Type" numFmtId="0">
      <sharedItems count="5">
        <s v="X-Ray"/>
        <s v="Blood Test"/>
        <s v="CT Scan"/>
        <s v="Ultrasound"/>
        <s v="MRI"/>
      </sharedItems>
    </cacheField>
    <cacheField name="Test Result" numFmtId="0">
      <sharedItems count="2">
        <s v="Accepted"/>
        <s v="Rejected"/>
      </sharedItems>
    </cacheField>
    <cacheField name="Shift" numFmtId="0">
      <sharedItems/>
    </cacheField>
    <cacheField name="Staff Hours Worked" numFmtId="0">
      <sharedItems containsSemiMixedTypes="0" containsString="0" containsNumber="1" containsInteger="1" minValue="4" maxValue="11"/>
    </cacheField>
    <cacheField name="Staff Available Hours" numFmtId="0">
      <sharedItems containsSemiMixedTypes="0" containsString="0" containsNumber="1" containsInteger="1" minValue="8" maxValue="12"/>
    </cacheField>
    <cacheField name="Treatment Pl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0.748160532406" backgroundQuery="1" createdVersion="7" refreshedVersion="7" minRefreshableVersion="3" recordCount="0" supportSubquery="1" supportAdvancedDrill="1" xr:uid="{D5C9AE87-ABF2-4DA5-9BBA-E971D0282869}">
  <cacheSource type="external" connectionId="1"/>
  <cacheFields count="3">
    <cacheField name="[Range].[Month].[Month]" caption="Month" numFmtId="0" hierarchy="5" level="1">
      <sharedItems count="24">
        <s v="Apr-2023"/>
        <s v="Apr-2024"/>
        <s v="Aug-2023"/>
        <s v="Aug-2024"/>
        <s v="Dec-2023"/>
        <s v="Dec-2024"/>
        <s v="Feb-2023"/>
        <s v="Feb-2024"/>
        <s v="Jan-2023"/>
        <s v="Jan-2024"/>
        <s v="Jul-2023"/>
        <s v="Jul-2024"/>
        <s v="Jun-2023"/>
        <s v="Jun-2024"/>
        <s v="Mar-2023"/>
        <s v="Mar-2024"/>
        <s v="May-2023"/>
        <s v="May-2024"/>
        <s v="Nov-2023"/>
        <s v="Nov-2024"/>
        <s v="Oct-2023"/>
        <s v="Oct-2024"/>
        <s v="Sep-2023"/>
        <s v="Sep-2024"/>
      </sharedItems>
    </cacheField>
    <cacheField name="[Range].[Department].[Department]" caption="Department" numFmtId="0" hierarchy="3" level="1">
      <sharedItems count="6">
        <s v="Cardiology"/>
        <s v="Emergency"/>
        <s v="General Medicine"/>
        <s v="ICU"/>
        <s v="Neurology"/>
        <s v="Orthopedics"/>
      </sharedItems>
    </cacheField>
    <cacheField name="[Measures].[Count of Patient ID]" caption="Count of Patient ID" numFmtId="0" hierarchy="25" level="32767"/>
  </cacheFields>
  <cacheHierarchies count="26"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dmission Date]" caption="Admission Date" attribute="1" time="1" defaultMemberUniqueName="[Range].[Admission Date].[All]" allUniqueName="[Range].[Admission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charge Date]" caption="Discharge Date" attribute="1" time="1" defaultMemberUniqueName="[Range].[Discharge Date].[All]" allUniqueName="[Range].[Discharge Date].[All]" dimensionUniqueName="[Range]" displayFolder="" count="0" memberValueDatatype="7" unbalanced="0"/>
    <cacheHierarchy uniqueName="[Range].[Stay Duration (days)]" caption="Stay Duration (days)" attribute="1" defaultMemberUniqueName="[Range].[Stay Duration (days)].[All]" allUniqueName="[Range].[Stay Duration (days)].[All]" dimensionUniqueName="[Range]" displayFolder="" count="0" memberValueDatatype="20" unbalanced="0"/>
    <cacheHierarchy uniqueName="[Range].[Disease/Condition]" caption="Disease/Condition" attribute="1" defaultMemberUniqueName="[Range].[Disease/Condition].[All]" allUniqueName="[Range].[Disease/Condition].[All]" dimensionUniqueName="[Range]" displayFolder="" count="0" memberValueDatatype="130" unbalanced="0"/>
    <cacheHierarchy uniqueName="[Range].[Satisfaction Score]" caption="Satisfaction Score" attribute="1" defaultMemberUniqueName="[Range].[Satisfaction Score].[All]" allUniqueName="[Range].[Satisfaction Score].[All]" dimensionUniqueName="[Range]" displayFolder="" count="0" memberValueDatatype="2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Treatment Cost]" caption="Treatment Cost" attribute="1" defaultMemberUniqueName="[Range].[Treatment Cost].[All]" allUniqueName="[Range].[Treatment Cost].[All]" dimensionUniqueName="[Range]" displayFolder="" count="0" memberValueDatatype="20" unbalanced="0"/>
    <cacheHierarchy uniqueName="[Range].[Medication]" caption="Medication" attribute="1" defaultMemberUniqueName="[Range].[Medication].[All]" allUniqueName="[Range].[Medication].[All]" dimensionUniqueName="[Range]" displayFolder="" count="0" memberValueDatatype="130" unbalanced="0"/>
    <cacheHierarchy uniqueName="[Range].[Has Insurance]" caption="Has Insurance" attribute="1" defaultMemberUniqueName="[Range].[Has Insurance].[All]" allUniqueName="[Range].[Has Insurance].[All]" dimensionUniqueName="[Range]" displayFolder="" count="0" memberValueDatatype="130" unbalanced="0"/>
    <cacheHierarchy uniqueName="[Range].[Case Type]" caption="Case Type" attribute="1" defaultMemberUniqueName="[Range].[Case Type].[All]" allUniqueName="[Range].[Case Type].[All]" dimensionUniqueName="[Range]" displayFolder="" count="0" memberValueDatatype="130" unbalanced="0"/>
    <cacheHierarchy uniqueName="[Range].[Appointment Date]" caption="Appointment Date" attribute="1" time="1" defaultMemberUniqueName="[Range].[Appointment Date].[All]" allUniqueName="[Range].[Appointment Date].[All]" dimensionUniqueName="[Range]" displayFolder="" count="0" memberValueDatatype="7" unbalanced="0"/>
    <cacheHierarchy uniqueName="[Range].[Consultation Date]" caption="Consultation Date" attribute="1" time="1" defaultMemberUniqueName="[Range].[Consultation Date].[All]" allUniqueName="[Range].[Consultation Date].[All]" dimensionUniqueName="[Range]" displayFolder="" count="0" memberValueDatatype="7" unbalanced="0"/>
    <cacheHierarchy uniqueName="[Range].[Test Type]" caption="Test Type" attribute="1" defaultMemberUniqueName="[Range].[Test Type].[All]" allUniqueName="[Range].[Test Type].[All]" dimensionUniqueName="[Range]" displayFolder="" count="0" memberValueDatatype="130" unbalanced="0"/>
    <cacheHierarchy uniqueName="[Range].[Test Result]" caption="Test Result" attribute="1" defaultMemberUniqueName="[Range].[Test Result].[All]" allUniqueName="[Range].[Test Result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Staff Hours Worked]" caption="Staff Hours Worked" attribute="1" defaultMemberUniqueName="[Range].[Staff Hours Worked].[All]" allUniqueName="[Range].[Staff Hours Worked].[All]" dimensionUniqueName="[Range]" displayFolder="" count="0" memberValueDatatype="20" unbalanced="0"/>
    <cacheHierarchy uniqueName="[Range].[Staff Available Hours]" caption="Staff Available Hours" attribute="1" defaultMemberUniqueName="[Range].[Staff Available Hours].[All]" allUniqueName="[Range].[Staff Available Hours].[All]" dimensionUniqueName="[Range]" displayFolder="" count="0" memberValueDatatype="20" unbalanced="0"/>
    <cacheHierarchy uniqueName="[Range].[Treatment Plan]" caption="Treatment Plan" attribute="1" defaultMemberUniqueName="[Range].[Treatment Plan].[All]" allUniqueName="[Range].[Treatment Pla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0.769855787039" backgroundQuery="1" createdVersion="7" refreshedVersion="7" minRefreshableVersion="3" recordCount="0" supportSubquery="1" supportAdvancedDrill="1" xr:uid="{9F51D065-9E6A-4F45-A744-042DAE6B4467}">
  <cacheSource type="external" connectionId="1"/>
  <cacheFields count="2">
    <cacheField name="[Range].[Month].[Month]" caption="Month" numFmtId="0" hierarchy="5" level="1">
      <sharedItems count="24">
        <s v="Apr-2023"/>
        <s v="Apr-2024"/>
        <s v="Aug-2023"/>
        <s v="Aug-2024"/>
        <s v="Dec-2023"/>
        <s v="Dec-2024"/>
        <s v="Feb-2023"/>
        <s v="Feb-2024"/>
        <s v="Jan-2023"/>
        <s v="Jan-2024"/>
        <s v="Jul-2023"/>
        <s v="Jul-2024"/>
        <s v="Jun-2023"/>
        <s v="Jun-2024"/>
        <s v="Mar-2023"/>
        <s v="Mar-2024"/>
        <s v="May-2023"/>
        <s v="May-2024"/>
        <s v="Nov-2023"/>
        <s v="Nov-2024"/>
        <s v="Oct-2023"/>
        <s v="Oct-2024"/>
        <s v="Sep-2023"/>
        <s v="Sep-2024"/>
      </sharedItems>
    </cacheField>
    <cacheField name="[Measures].[Count of Patient ID]" caption="Count of Patient ID" numFmtId="0" hierarchy="25" level="32767"/>
  </cacheFields>
  <cacheHierarchies count="26">
    <cacheHierarchy uniqueName="[Range].[Patient ID]" caption="Patient ID" attribute="1" defaultMemberUniqueName="[Range].[Patient ID].[All]" allUniqueName="[Range].[Patient ID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Admission Date]" caption="Admission Date" attribute="1" time="1" defaultMemberUniqueName="[Range].[Admission Date].[All]" allUniqueName="[Range].[Admission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ischarge Date]" caption="Discharge Date" attribute="1" time="1" defaultMemberUniqueName="[Range].[Discharge Date].[All]" allUniqueName="[Range].[Discharge Date].[All]" dimensionUniqueName="[Range]" displayFolder="" count="0" memberValueDatatype="7" unbalanced="0"/>
    <cacheHierarchy uniqueName="[Range].[Stay Duration (days)]" caption="Stay Duration (days)" attribute="1" defaultMemberUniqueName="[Range].[Stay Duration (days)].[All]" allUniqueName="[Range].[Stay Duration (days)].[All]" dimensionUniqueName="[Range]" displayFolder="" count="0" memberValueDatatype="20" unbalanced="0"/>
    <cacheHierarchy uniqueName="[Range].[Disease/Condition]" caption="Disease/Condition" attribute="1" defaultMemberUniqueName="[Range].[Disease/Condition].[All]" allUniqueName="[Range].[Disease/Condition].[All]" dimensionUniqueName="[Range]" displayFolder="" count="0" memberValueDatatype="130" unbalanced="0"/>
    <cacheHierarchy uniqueName="[Range].[Satisfaction Score]" caption="Satisfaction Score" attribute="1" defaultMemberUniqueName="[Range].[Satisfaction Score].[All]" allUniqueName="[Range].[Satisfaction Score].[All]" dimensionUniqueName="[Range]" displayFolder="" count="0" memberValueDatatype="20" unbalanced="0"/>
    <cacheHierarchy uniqueName="[Range].[Doctor]" caption="Doctor" attribute="1" defaultMemberUniqueName="[Range].[Doctor].[All]" allUniqueName="[Range].[Doctor].[All]" dimensionUniqueName="[Range]" displayFolder="" count="0" memberValueDatatype="130" unbalanced="0"/>
    <cacheHierarchy uniqueName="[Range].[Treatment Cost]" caption="Treatment Cost" attribute="1" defaultMemberUniqueName="[Range].[Treatment Cost].[All]" allUniqueName="[Range].[Treatment Cost].[All]" dimensionUniqueName="[Range]" displayFolder="" count="0" memberValueDatatype="20" unbalanced="0"/>
    <cacheHierarchy uniqueName="[Range].[Medication]" caption="Medication" attribute="1" defaultMemberUniqueName="[Range].[Medication].[All]" allUniqueName="[Range].[Medication].[All]" dimensionUniqueName="[Range]" displayFolder="" count="0" memberValueDatatype="130" unbalanced="0"/>
    <cacheHierarchy uniqueName="[Range].[Has Insurance]" caption="Has Insurance" attribute="1" defaultMemberUniqueName="[Range].[Has Insurance].[All]" allUniqueName="[Range].[Has Insurance].[All]" dimensionUniqueName="[Range]" displayFolder="" count="0" memberValueDatatype="130" unbalanced="0"/>
    <cacheHierarchy uniqueName="[Range].[Case Type]" caption="Case Type" attribute="1" defaultMemberUniqueName="[Range].[Case Type].[All]" allUniqueName="[Range].[Case Type].[All]" dimensionUniqueName="[Range]" displayFolder="" count="0" memberValueDatatype="130" unbalanced="0"/>
    <cacheHierarchy uniqueName="[Range].[Appointment Date]" caption="Appointment Date" attribute="1" time="1" defaultMemberUniqueName="[Range].[Appointment Date].[All]" allUniqueName="[Range].[Appointment Date].[All]" dimensionUniqueName="[Range]" displayFolder="" count="0" memberValueDatatype="7" unbalanced="0"/>
    <cacheHierarchy uniqueName="[Range].[Consultation Date]" caption="Consultation Date" attribute="1" time="1" defaultMemberUniqueName="[Range].[Consultation Date].[All]" allUniqueName="[Range].[Consultation Date].[All]" dimensionUniqueName="[Range]" displayFolder="" count="0" memberValueDatatype="7" unbalanced="0"/>
    <cacheHierarchy uniqueName="[Range].[Test Type]" caption="Test Type" attribute="1" defaultMemberUniqueName="[Range].[Test Type].[All]" allUniqueName="[Range].[Test Type].[All]" dimensionUniqueName="[Range]" displayFolder="" count="0" memberValueDatatype="130" unbalanced="0"/>
    <cacheHierarchy uniqueName="[Range].[Test Result]" caption="Test Result" attribute="1" defaultMemberUniqueName="[Range].[Test Result].[All]" allUniqueName="[Range].[Test Result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Staff Hours Worked]" caption="Staff Hours Worked" attribute="1" defaultMemberUniqueName="[Range].[Staff Hours Worked].[All]" allUniqueName="[Range].[Staff Hours Worked].[All]" dimensionUniqueName="[Range]" displayFolder="" count="0" memberValueDatatype="20" unbalanced="0"/>
    <cacheHierarchy uniqueName="[Range].[Staff Available Hours]" caption="Staff Available Hours" attribute="1" defaultMemberUniqueName="[Range].[Staff Available Hours].[All]" allUniqueName="[Range].[Staff Available Hours].[All]" dimensionUniqueName="[Range]" displayFolder="" count="0" memberValueDatatype="20" unbalanced="0"/>
    <cacheHierarchy uniqueName="[Range].[Treatment Plan]" caption="Treatment Plan" attribute="1" defaultMemberUniqueName="[Range].[Treatment Plan].[All]" allUniqueName="[Range].[Treatment Pla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5000"/>
    <n v="52"/>
    <x v="0"/>
    <x v="0"/>
    <d v="2023-04-25T00:00:00"/>
    <d v="2023-06-05T00:00:00"/>
    <n v="11"/>
    <x v="0"/>
    <n v="3"/>
    <s v="Dr. Mehta"/>
    <n v="40901"/>
    <x v="0"/>
    <x v="0"/>
    <x v="0"/>
    <d v="2023-04-22T00:00:00"/>
    <d v="2023-04-22T12:00:00"/>
    <x v="0"/>
    <x v="0"/>
    <s v="Afternoon"/>
    <n v="9"/>
    <n v="12"/>
    <s v="Plan B"/>
  </r>
  <r>
    <s v="PAT5001"/>
    <n v="15"/>
    <x v="1"/>
    <x v="1"/>
    <d v="2023-01-26T00:00:00"/>
    <d v="2023-02-02T00:00:00"/>
    <n v="7"/>
    <x v="1"/>
    <n v="2"/>
    <s v="Dr. Sharma"/>
    <n v="49380"/>
    <x v="1"/>
    <x v="0"/>
    <x v="0"/>
    <d v="2023-01-22T00:00:00"/>
    <d v="2023-01-22T21:00:00"/>
    <x v="1"/>
    <x v="1"/>
    <s v="Afternoon"/>
    <n v="9"/>
    <n v="10"/>
    <s v="Plan B"/>
  </r>
  <r>
    <s v="PAT5002"/>
    <n v="72"/>
    <x v="2"/>
    <x v="0"/>
    <d v="2023-09-10T00:00:00"/>
    <d v="2023-11-10T00:00:00"/>
    <n v="2"/>
    <x v="2"/>
    <n v="5"/>
    <s v="Dr. Mehta"/>
    <n v="25493"/>
    <x v="0"/>
    <x v="0"/>
    <x v="1"/>
    <d v="2023-09-10T00:00:00"/>
    <d v="2023-09-10T02:00:00"/>
    <x v="2"/>
    <x v="1"/>
    <s v="Morning"/>
    <n v="10"/>
    <n v="10"/>
    <s v="Plan B"/>
  </r>
  <r>
    <s v="PAT5003"/>
    <n v="61"/>
    <x v="0"/>
    <x v="2"/>
    <d v="2023-08-09T00:00:00"/>
    <d v="2023-11-09T00:00:00"/>
    <n v="3"/>
    <x v="1"/>
    <n v="3"/>
    <s v="Dr. Gupta"/>
    <n v="23595"/>
    <x v="0"/>
    <x v="0"/>
    <x v="0"/>
    <d v="2023-04-09T00:00:00"/>
    <d v="2023-04-09T14:00:00"/>
    <x v="2"/>
    <x v="0"/>
    <s v="Night"/>
    <n v="7"/>
    <n v="12"/>
    <s v="Plan C"/>
  </r>
  <r>
    <s v="PAT5004"/>
    <n v="21"/>
    <x v="3"/>
    <x v="3"/>
    <d v="2023-08-17T00:00:00"/>
    <d v="2023-08-18T00:00:00"/>
    <n v="1"/>
    <x v="3"/>
    <n v="1"/>
    <s v="Dr. Gupta"/>
    <n v="26923"/>
    <x v="1"/>
    <x v="0"/>
    <x v="1"/>
    <d v="2023-08-16T00:00:00"/>
    <d v="2023-08-17T14:00:00"/>
    <x v="2"/>
    <x v="0"/>
    <s v="Night"/>
    <n v="5"/>
    <n v="10"/>
    <s v="Plan B"/>
  </r>
  <r>
    <s v="PAT5005"/>
    <n v="83"/>
    <x v="2"/>
    <x v="4"/>
    <d v="2023-05-23T00:00:00"/>
    <d v="2023-05-24T00:00:00"/>
    <n v="1"/>
    <x v="3"/>
    <n v="3"/>
    <s v="Dr. Mehta"/>
    <n v="14735"/>
    <x v="2"/>
    <x v="1"/>
    <x v="0"/>
    <d v="2023-05-18T00:00:00"/>
    <d v="2023-05-18T10:00:00"/>
    <x v="3"/>
    <x v="1"/>
    <s v="Morning"/>
    <n v="9"/>
    <n v="12"/>
    <s v="Plan C"/>
  </r>
  <r>
    <s v="PAT5006"/>
    <n v="87"/>
    <x v="2"/>
    <x v="4"/>
    <d v="2023-04-15T00:00:00"/>
    <d v="2023-04-20T00:00:00"/>
    <n v="5"/>
    <x v="4"/>
    <n v="1"/>
    <s v="Dr. Sharma"/>
    <n v="39457"/>
    <x v="0"/>
    <x v="1"/>
    <x v="1"/>
    <d v="2023-12-04T00:00:00"/>
    <d v="2023-04-13T22:00:00"/>
    <x v="0"/>
    <x v="0"/>
    <s v="Afternoon"/>
    <n v="10"/>
    <n v="8"/>
    <s v="Plan B"/>
  </r>
  <r>
    <s v="PAT5007"/>
    <n v="75"/>
    <x v="2"/>
    <x v="1"/>
    <d v="2023-03-31T00:00:00"/>
    <d v="2023-08-04T00:00:00"/>
    <n v="8"/>
    <x v="3"/>
    <n v="5"/>
    <s v="Dr. Mehta"/>
    <n v="47531"/>
    <x v="0"/>
    <x v="1"/>
    <x v="1"/>
    <d v="2023-03-29T00:00:00"/>
    <d v="2023-03-30T02:00:00"/>
    <x v="3"/>
    <x v="0"/>
    <s v="Afternoon"/>
    <n v="4"/>
    <n v="8"/>
    <s v="Plan C"/>
  </r>
  <r>
    <s v="PAT5008"/>
    <n v="75"/>
    <x v="2"/>
    <x v="2"/>
    <d v="2024-08-03T00:00:00"/>
    <d v="2024-10-03T00:00:00"/>
    <n v="2"/>
    <x v="1"/>
    <n v="5"/>
    <s v="Dr. Mehta"/>
    <n v="12727"/>
    <x v="3"/>
    <x v="1"/>
    <x v="0"/>
    <d v="2024-06-03T00:00:00"/>
    <d v="2024-06-03T05:00:00"/>
    <x v="3"/>
    <x v="0"/>
    <s v="Night"/>
    <n v="9"/>
    <n v="12"/>
    <s v="Plan C"/>
  </r>
  <r>
    <s v="PAT5009"/>
    <n v="88"/>
    <x v="2"/>
    <x v="5"/>
    <d v="2023-02-02T00:00:00"/>
    <d v="2023-04-02T00:00:00"/>
    <n v="2"/>
    <x v="5"/>
    <n v="4"/>
    <s v="Dr. Mehta"/>
    <n v="12764"/>
    <x v="1"/>
    <x v="1"/>
    <x v="0"/>
    <d v="2023-01-30T00:00:00"/>
    <d v="2023-01-30T20:00:00"/>
    <x v="4"/>
    <x v="0"/>
    <s v="Night"/>
    <n v="6"/>
    <n v="8"/>
    <s v="Plan C"/>
  </r>
  <r>
    <s v="PAT5010"/>
    <n v="24"/>
    <x v="3"/>
    <x v="2"/>
    <d v="2023-01-31T00:00:00"/>
    <d v="2023-04-02T00:00:00"/>
    <n v="4"/>
    <x v="5"/>
    <n v="4"/>
    <s v="Dr. Rao"/>
    <n v="32599"/>
    <x v="4"/>
    <x v="0"/>
    <x v="0"/>
    <d v="2023-01-31T00:00:00"/>
    <d v="2023-01-31T11:00:00"/>
    <x v="0"/>
    <x v="0"/>
    <s v="Night"/>
    <n v="6"/>
    <n v="10"/>
    <s v="Plan A"/>
  </r>
  <r>
    <s v="PAT5011"/>
    <n v="3"/>
    <x v="1"/>
    <x v="4"/>
    <d v="2023-06-04T00:00:00"/>
    <d v="2023-04-21T00:00:00"/>
    <n v="15"/>
    <x v="4"/>
    <n v="4"/>
    <s v="Dr. Gupta"/>
    <n v="5818"/>
    <x v="2"/>
    <x v="0"/>
    <x v="1"/>
    <d v="2023-02-04T00:00:00"/>
    <d v="2023-03-04T13:00:00"/>
    <x v="2"/>
    <x v="0"/>
    <s v="Night"/>
    <n v="4"/>
    <n v="8"/>
    <s v="Plan B"/>
  </r>
  <r>
    <s v="PAT5012"/>
    <n v="22"/>
    <x v="3"/>
    <x v="4"/>
    <d v="2023-12-08T00:00:00"/>
    <d v="2023-08-21T00:00:00"/>
    <n v="9"/>
    <x v="0"/>
    <n v="5"/>
    <s v="Dr. Patel"/>
    <n v="42289"/>
    <x v="2"/>
    <x v="1"/>
    <x v="0"/>
    <d v="2023-11-08T00:00:00"/>
    <d v="2023-11-08T16:00:00"/>
    <x v="1"/>
    <x v="0"/>
    <s v="Night"/>
    <n v="11"/>
    <n v="8"/>
    <s v="Plan A"/>
  </r>
  <r>
    <s v="PAT5013"/>
    <n v="53"/>
    <x v="0"/>
    <x v="3"/>
    <d v="2023-08-27T00:00:00"/>
    <d v="2023-08-30T00:00:00"/>
    <n v="3"/>
    <x v="1"/>
    <n v="2"/>
    <s v="Dr. Patel"/>
    <n v="38892"/>
    <x v="1"/>
    <x v="1"/>
    <x v="0"/>
    <d v="2023-08-23T00:00:00"/>
    <d v="2023-08-24T13:00:00"/>
    <x v="2"/>
    <x v="0"/>
    <s v="Afternoon"/>
    <n v="7"/>
    <n v="12"/>
    <s v="Plan B"/>
  </r>
  <r>
    <s v="PAT5014"/>
    <n v="2"/>
    <x v="1"/>
    <x v="2"/>
    <d v="2024-01-06T00:00:00"/>
    <d v="2024-08-06T00:00:00"/>
    <n v="7"/>
    <x v="1"/>
    <n v="5"/>
    <s v="Dr. Rao"/>
    <n v="10660"/>
    <x v="3"/>
    <x v="0"/>
    <x v="0"/>
    <d v="2024-05-30T00:00:00"/>
    <d v="2024-05-31T01:00:00"/>
    <x v="3"/>
    <x v="0"/>
    <s v="Afternoon"/>
    <n v="11"/>
    <n v="10"/>
    <s v="Plan B"/>
  </r>
  <r>
    <s v="PAT5015"/>
    <n v="88"/>
    <x v="2"/>
    <x v="2"/>
    <d v="2023-01-28T00:00:00"/>
    <d v="2023-05-02T00:00:00"/>
    <n v="8"/>
    <x v="3"/>
    <n v="3"/>
    <s v="Dr. Mehta"/>
    <n v="34521"/>
    <x v="3"/>
    <x v="1"/>
    <x v="1"/>
    <d v="2023-01-25T00:00:00"/>
    <d v="2023-01-26T20:00:00"/>
    <x v="0"/>
    <x v="0"/>
    <s v="Afternoon"/>
    <n v="5"/>
    <n v="8"/>
    <s v="Plan A"/>
  </r>
  <r>
    <s v="PAT5016"/>
    <n v="30"/>
    <x v="3"/>
    <x v="4"/>
    <d v="2023-07-23T00:00:00"/>
    <d v="2023-07-29T00:00:00"/>
    <n v="6"/>
    <x v="1"/>
    <n v="5"/>
    <s v="Dr. Rao"/>
    <n v="43409"/>
    <x v="1"/>
    <x v="0"/>
    <x v="0"/>
    <d v="2023-07-21T00:00:00"/>
    <d v="2023-07-22T11:00:00"/>
    <x v="0"/>
    <x v="0"/>
    <s v="Afternoon"/>
    <n v="11"/>
    <n v="8"/>
    <s v="Plan C"/>
  </r>
  <r>
    <s v="PAT5017"/>
    <n v="38"/>
    <x v="4"/>
    <x v="5"/>
    <d v="2024-05-03T00:00:00"/>
    <d v="2024-03-16T00:00:00"/>
    <n v="11"/>
    <x v="2"/>
    <n v="5"/>
    <s v="Dr. Rao"/>
    <n v="39470"/>
    <x v="3"/>
    <x v="1"/>
    <x v="1"/>
    <d v="2024-02-29T00:00:00"/>
    <d v="2024-02-29T22:00:00"/>
    <x v="0"/>
    <x v="0"/>
    <s v="Morning"/>
    <n v="5"/>
    <n v="12"/>
    <s v="Plan B"/>
  </r>
  <r>
    <s v="PAT5018"/>
    <n v="2"/>
    <x v="1"/>
    <x v="1"/>
    <d v="2023-08-14T00:00:00"/>
    <d v="2023-08-26T00:00:00"/>
    <n v="12"/>
    <x v="0"/>
    <n v="1"/>
    <s v="Dr. Sharma"/>
    <n v="23385"/>
    <x v="2"/>
    <x v="0"/>
    <x v="0"/>
    <d v="2023-12-08T00:00:00"/>
    <d v="2023-08-13T01:00:00"/>
    <x v="4"/>
    <x v="0"/>
    <s v="Afternoon"/>
    <n v="9"/>
    <n v="12"/>
    <s v="Plan C"/>
  </r>
  <r>
    <s v="PAT5019"/>
    <n v="64"/>
    <x v="0"/>
    <x v="1"/>
    <d v="2024-04-04T00:00:00"/>
    <d v="2024-04-16T00:00:00"/>
    <n v="12"/>
    <x v="3"/>
    <n v="1"/>
    <s v="Dr. Gupta"/>
    <n v="28296"/>
    <x v="2"/>
    <x v="1"/>
    <x v="0"/>
    <d v="2024-03-04T00:00:00"/>
    <d v="2024-05-04T00:00:00"/>
    <x v="2"/>
    <x v="0"/>
    <s v="Morning"/>
    <n v="6"/>
    <n v="10"/>
    <s v="Plan A"/>
  </r>
  <r>
    <s v="PAT5020"/>
    <n v="60"/>
    <x v="0"/>
    <x v="2"/>
    <d v="2023-12-10T00:00:00"/>
    <d v="2023-10-21T00:00:00"/>
    <n v="9"/>
    <x v="2"/>
    <n v="1"/>
    <s v="Dr. Patel"/>
    <n v="28616"/>
    <x v="4"/>
    <x v="0"/>
    <x v="0"/>
    <d v="2023-12-10T00:00:00"/>
    <d v="2023-12-10T09:00:00"/>
    <x v="4"/>
    <x v="0"/>
    <s v="Afternoon"/>
    <n v="7"/>
    <n v="8"/>
    <s v="Plan C"/>
  </r>
  <r>
    <s v="PAT5021"/>
    <n v="21"/>
    <x v="3"/>
    <x v="1"/>
    <d v="2023-07-01T00:00:00"/>
    <d v="2023-01-14T00:00:00"/>
    <n v="7"/>
    <x v="4"/>
    <n v="5"/>
    <s v="Dr. Mehta"/>
    <n v="31382"/>
    <x v="1"/>
    <x v="1"/>
    <x v="0"/>
    <d v="2023-07-01T00:00:00"/>
    <d v="2023-08-01T21:00:00"/>
    <x v="1"/>
    <x v="0"/>
    <s v="Night"/>
    <n v="7"/>
    <n v="12"/>
    <s v="Plan B"/>
  </r>
  <r>
    <s v="PAT5022"/>
    <n v="33"/>
    <x v="3"/>
    <x v="4"/>
    <d v="2023-06-13T00:00:00"/>
    <d v="2023-06-23T00:00:00"/>
    <n v="10"/>
    <x v="5"/>
    <n v="2"/>
    <s v="Dr. Patel"/>
    <n v="16139"/>
    <x v="0"/>
    <x v="1"/>
    <x v="0"/>
    <d v="2023-08-06T00:00:00"/>
    <d v="2023-09-06T23:00:00"/>
    <x v="3"/>
    <x v="0"/>
    <s v="Night"/>
    <n v="7"/>
    <n v="12"/>
    <s v="Plan B"/>
  </r>
  <r>
    <s v="PAT5023"/>
    <n v="76"/>
    <x v="2"/>
    <x v="4"/>
    <d v="2024-08-03T00:00:00"/>
    <d v="2024-03-20T00:00:00"/>
    <n v="12"/>
    <x v="4"/>
    <n v="3"/>
    <s v="Dr. Patel"/>
    <n v="37060"/>
    <x v="0"/>
    <x v="1"/>
    <x v="0"/>
    <d v="2024-07-03T00:00:00"/>
    <d v="2024-07-03T06:00:00"/>
    <x v="4"/>
    <x v="0"/>
    <s v="Night"/>
    <n v="9"/>
    <n v="12"/>
    <s v="Plan B"/>
  </r>
  <r>
    <s v="PAT5024"/>
    <n v="58"/>
    <x v="0"/>
    <x v="2"/>
    <d v="2023-12-15T00:00:00"/>
    <d v="2023-12-27T00:00:00"/>
    <n v="12"/>
    <x v="5"/>
    <n v="3"/>
    <s v="Dr. Gupta"/>
    <n v="27419"/>
    <x v="4"/>
    <x v="1"/>
    <x v="0"/>
    <d v="2023-12-12T00:00:00"/>
    <d v="2023-12-13T09:00:00"/>
    <x v="4"/>
    <x v="0"/>
    <s v="Morning"/>
    <n v="5"/>
    <n v="10"/>
    <s v="Plan A"/>
  </r>
  <r>
    <s v="PAT5025"/>
    <n v="22"/>
    <x v="3"/>
    <x v="2"/>
    <d v="2023-12-10T00:00:00"/>
    <d v="2023-10-15T00:00:00"/>
    <n v="3"/>
    <x v="4"/>
    <n v="2"/>
    <s v="Dr. Patel"/>
    <n v="32785"/>
    <x v="4"/>
    <x v="0"/>
    <x v="0"/>
    <d v="2023-08-10T00:00:00"/>
    <d v="2023-10-10T00:00:00"/>
    <x v="3"/>
    <x v="0"/>
    <s v="Afternoon"/>
    <n v="7"/>
    <n v="12"/>
    <s v="Plan B"/>
  </r>
  <r>
    <s v="PAT5026"/>
    <n v="89"/>
    <x v="2"/>
    <x v="3"/>
    <d v="2023-09-06T00:00:00"/>
    <d v="2023-06-24T00:00:00"/>
    <n v="15"/>
    <x v="1"/>
    <n v="2"/>
    <s v="Dr. Patel"/>
    <n v="20702"/>
    <x v="3"/>
    <x v="0"/>
    <x v="0"/>
    <d v="2023-06-06T00:00:00"/>
    <d v="2023-06-06T23:00:00"/>
    <x v="0"/>
    <x v="0"/>
    <s v="Afternoon"/>
    <n v="9"/>
    <n v="10"/>
    <s v="Plan A"/>
  </r>
  <r>
    <s v="PAT5027"/>
    <n v="49"/>
    <x v="4"/>
    <x v="2"/>
    <d v="2023-09-08T00:00:00"/>
    <d v="2023-08-16T00:00:00"/>
    <n v="7"/>
    <x v="2"/>
    <n v="3"/>
    <s v="Dr. Rao"/>
    <n v="34217"/>
    <x v="4"/>
    <x v="1"/>
    <x v="0"/>
    <d v="2023-05-08T00:00:00"/>
    <d v="2023-05-08T04:00:00"/>
    <x v="3"/>
    <x v="0"/>
    <s v="Morning"/>
    <n v="9"/>
    <n v="10"/>
    <s v="Plan C"/>
  </r>
  <r>
    <s v="PAT5028"/>
    <n v="59"/>
    <x v="0"/>
    <x v="5"/>
    <d v="2023-11-12T00:00:00"/>
    <d v="2023-12-22T00:00:00"/>
    <n v="11"/>
    <x v="5"/>
    <n v="4"/>
    <s v="Dr. Gupta"/>
    <n v="44291"/>
    <x v="4"/>
    <x v="1"/>
    <x v="0"/>
    <d v="2023-11-12T00:00:00"/>
    <d v="2023-11-12T07:00:00"/>
    <x v="2"/>
    <x v="0"/>
    <s v="Morning"/>
    <n v="4"/>
    <n v="8"/>
    <s v="Plan B"/>
  </r>
  <r>
    <s v="PAT5029"/>
    <n v="42"/>
    <x v="4"/>
    <x v="1"/>
    <d v="2023-04-15T00:00:00"/>
    <d v="2023-04-17T00:00:00"/>
    <n v="2"/>
    <x v="3"/>
    <n v="1"/>
    <s v="Dr. Sharma"/>
    <n v="17397"/>
    <x v="0"/>
    <x v="1"/>
    <x v="0"/>
    <d v="2023-04-13T00:00:00"/>
    <d v="2023-04-14T04:00:00"/>
    <x v="3"/>
    <x v="0"/>
    <s v="Morning"/>
    <n v="8"/>
    <n v="8"/>
    <s v="Plan B"/>
  </r>
  <r>
    <s v="PAT5030"/>
    <n v="60"/>
    <x v="0"/>
    <x v="2"/>
    <d v="2023-05-04T00:00:00"/>
    <d v="2023-04-19T00:00:00"/>
    <n v="14"/>
    <x v="2"/>
    <n v="1"/>
    <s v="Dr. Mehta"/>
    <n v="45879"/>
    <x v="3"/>
    <x v="0"/>
    <x v="0"/>
    <d v="2023-03-04T00:00:00"/>
    <d v="2023-03-04T15:00:00"/>
    <x v="0"/>
    <x v="0"/>
    <s v="Morning"/>
    <n v="11"/>
    <n v="10"/>
    <s v="Plan B"/>
  </r>
  <r>
    <s v="PAT5031"/>
    <n v="80"/>
    <x v="2"/>
    <x v="0"/>
    <d v="2024-01-25T00:00:00"/>
    <d v="2024-02-02T00:00:00"/>
    <n v="8"/>
    <x v="3"/>
    <n v="3"/>
    <s v="Dr. Patel"/>
    <n v="40169"/>
    <x v="4"/>
    <x v="0"/>
    <x v="0"/>
    <d v="2024-01-20T00:00:00"/>
    <d v="2024-01-20T05:00:00"/>
    <x v="3"/>
    <x v="0"/>
    <s v="Morning"/>
    <n v="7"/>
    <n v="8"/>
    <s v="Plan C"/>
  </r>
  <r>
    <s v="PAT5032"/>
    <n v="15"/>
    <x v="1"/>
    <x v="3"/>
    <d v="2023-10-04T00:00:00"/>
    <d v="2023-04-20T00:00:00"/>
    <n v="10"/>
    <x v="2"/>
    <n v="2"/>
    <s v="Dr. Mehta"/>
    <n v="31940"/>
    <x v="4"/>
    <x v="1"/>
    <x v="1"/>
    <d v="2023-07-04T00:00:00"/>
    <d v="2023-07-04T22:00:00"/>
    <x v="4"/>
    <x v="1"/>
    <s v="Night"/>
    <n v="8"/>
    <n v="8"/>
    <s v="Plan B"/>
  </r>
  <r>
    <s v="PAT5033"/>
    <n v="62"/>
    <x v="0"/>
    <x v="0"/>
    <d v="2024-03-01T00:00:00"/>
    <d v="2024-10-01T00:00:00"/>
    <n v="7"/>
    <x v="2"/>
    <n v="4"/>
    <s v="Dr. Sharma"/>
    <n v="47249"/>
    <x v="3"/>
    <x v="0"/>
    <x v="0"/>
    <d v="2024-02-01T00:00:00"/>
    <d v="2024-03-01T15:00:00"/>
    <x v="1"/>
    <x v="0"/>
    <s v="Afternoon"/>
    <n v="5"/>
    <n v="12"/>
    <s v="Plan A"/>
  </r>
  <r>
    <s v="PAT5034"/>
    <n v="62"/>
    <x v="0"/>
    <x v="4"/>
    <d v="2023-12-19T00:00:00"/>
    <d v="2023-12-24T00:00:00"/>
    <n v="5"/>
    <x v="4"/>
    <n v="3"/>
    <s v="Dr. Mehta"/>
    <n v="33341"/>
    <x v="1"/>
    <x v="0"/>
    <x v="0"/>
    <d v="2023-12-15T00:00:00"/>
    <d v="2023-12-16T16:00:00"/>
    <x v="4"/>
    <x v="0"/>
    <s v="Morning"/>
    <n v="9"/>
    <n v="8"/>
    <s v="Plan C"/>
  </r>
  <r>
    <s v="PAT5035"/>
    <n v="47"/>
    <x v="4"/>
    <x v="1"/>
    <d v="2023-09-28T00:00:00"/>
    <d v="2023-09-29T00:00:00"/>
    <n v="1"/>
    <x v="5"/>
    <n v="1"/>
    <s v="Dr. Sharma"/>
    <n v="15067"/>
    <x v="3"/>
    <x v="0"/>
    <x v="1"/>
    <d v="2023-09-26T00:00:00"/>
    <d v="2023-09-27T15:00:00"/>
    <x v="1"/>
    <x v="0"/>
    <s v="Night"/>
    <n v="10"/>
    <n v="10"/>
    <s v="Plan C"/>
  </r>
  <r>
    <s v="PAT5036"/>
    <n v="62"/>
    <x v="0"/>
    <x v="2"/>
    <d v="2023-02-14T00:00:00"/>
    <d v="2023-02-26T00:00:00"/>
    <n v="12"/>
    <x v="5"/>
    <n v="5"/>
    <s v="Dr. Rao"/>
    <n v="18824"/>
    <x v="0"/>
    <x v="0"/>
    <x v="1"/>
    <d v="2023-09-02T00:00:00"/>
    <d v="2023-10-02T02:00:00"/>
    <x v="3"/>
    <x v="0"/>
    <s v="Morning"/>
    <n v="11"/>
    <n v="8"/>
    <s v="Plan C"/>
  </r>
  <r>
    <s v="PAT5037"/>
    <n v="51"/>
    <x v="0"/>
    <x v="0"/>
    <d v="2024-04-15T00:00:00"/>
    <d v="2024-04-21T00:00:00"/>
    <n v="6"/>
    <x v="2"/>
    <n v="2"/>
    <s v="Dr. Patel"/>
    <n v="18444"/>
    <x v="1"/>
    <x v="0"/>
    <x v="0"/>
    <d v="2024-12-04T00:00:00"/>
    <d v="2024-12-04T21:00:00"/>
    <x v="2"/>
    <x v="0"/>
    <s v="Night"/>
    <n v="11"/>
    <n v="12"/>
    <s v="Plan C"/>
  </r>
  <r>
    <s v="PAT5038"/>
    <n v="55"/>
    <x v="0"/>
    <x v="1"/>
    <d v="2023-08-05T00:00:00"/>
    <d v="2023-12-05T00:00:00"/>
    <n v="4"/>
    <x v="1"/>
    <n v="5"/>
    <s v="Dr. Sharma"/>
    <n v="38307"/>
    <x v="2"/>
    <x v="0"/>
    <x v="0"/>
    <d v="2023-07-05T00:00:00"/>
    <d v="2023-07-05T02:00:00"/>
    <x v="3"/>
    <x v="0"/>
    <s v="Morning"/>
    <n v="7"/>
    <n v="10"/>
    <s v="Plan C"/>
  </r>
  <r>
    <s v="PAT5039"/>
    <n v="64"/>
    <x v="0"/>
    <x v="4"/>
    <d v="2024-01-23T00:00:00"/>
    <d v="2024-01-31T00:00:00"/>
    <n v="8"/>
    <x v="1"/>
    <n v="3"/>
    <s v="Dr. Mehta"/>
    <n v="15974"/>
    <x v="3"/>
    <x v="1"/>
    <x v="0"/>
    <d v="2024-01-23T00:00:00"/>
    <d v="2024-01-24T17:00:00"/>
    <x v="0"/>
    <x v="0"/>
    <s v="Afternoon"/>
    <n v="10"/>
    <n v="8"/>
    <s v="Plan A"/>
  </r>
  <r>
    <s v="PAT5040"/>
    <n v="3"/>
    <x v="1"/>
    <x v="5"/>
    <d v="2023-03-22T00:00:00"/>
    <d v="2023-03-30T00:00:00"/>
    <n v="8"/>
    <x v="3"/>
    <n v="1"/>
    <s v="Dr. Patel"/>
    <n v="43383"/>
    <x v="0"/>
    <x v="0"/>
    <x v="1"/>
    <d v="2023-03-21T00:00:00"/>
    <d v="2023-03-21T18:00:00"/>
    <x v="3"/>
    <x v="0"/>
    <s v="Morning"/>
    <n v="6"/>
    <n v="10"/>
    <s v="Plan C"/>
  </r>
  <r>
    <s v="PAT5041"/>
    <n v="51"/>
    <x v="0"/>
    <x v="3"/>
    <d v="2023-10-28T00:00:00"/>
    <d v="2023-01-11T00:00:00"/>
    <n v="4"/>
    <x v="3"/>
    <n v="4"/>
    <s v="Dr. Rao"/>
    <n v="34290"/>
    <x v="1"/>
    <x v="1"/>
    <x v="0"/>
    <d v="2023-10-28T00:00:00"/>
    <d v="2023-10-29T05:00:00"/>
    <x v="1"/>
    <x v="0"/>
    <s v="Morning"/>
    <n v="5"/>
    <n v="8"/>
    <s v="Plan B"/>
  </r>
  <r>
    <s v="PAT5042"/>
    <n v="7"/>
    <x v="1"/>
    <x v="1"/>
    <d v="2024-06-01T00:00:00"/>
    <d v="2024-01-20T00:00:00"/>
    <n v="14"/>
    <x v="4"/>
    <n v="5"/>
    <s v="Dr. Patel"/>
    <n v="21016"/>
    <x v="3"/>
    <x v="1"/>
    <x v="1"/>
    <d v="2024-03-01T00:00:00"/>
    <d v="2024-04-01T08:00:00"/>
    <x v="4"/>
    <x v="0"/>
    <s v="Afternoon"/>
    <n v="4"/>
    <n v="12"/>
    <s v="Plan C"/>
  </r>
  <r>
    <s v="PAT5043"/>
    <n v="21"/>
    <x v="3"/>
    <x v="1"/>
    <d v="2023-07-16T00:00:00"/>
    <d v="2023-07-22T00:00:00"/>
    <n v="6"/>
    <x v="2"/>
    <n v="4"/>
    <s v="Dr. Sharma"/>
    <n v="37112"/>
    <x v="4"/>
    <x v="1"/>
    <x v="0"/>
    <d v="2023-07-15T00:00:00"/>
    <d v="2023-07-15T15:00:00"/>
    <x v="2"/>
    <x v="0"/>
    <s v="Afternoon"/>
    <n v="4"/>
    <n v="8"/>
    <s v="Plan C"/>
  </r>
  <r>
    <s v="PAT5044"/>
    <n v="73"/>
    <x v="2"/>
    <x v="5"/>
    <d v="2023-03-13T00:00:00"/>
    <d v="2023-03-15T00:00:00"/>
    <n v="2"/>
    <x v="3"/>
    <n v="1"/>
    <s v="Dr. Rao"/>
    <n v="33513"/>
    <x v="3"/>
    <x v="0"/>
    <x v="1"/>
    <d v="2023-08-03T00:00:00"/>
    <d v="2023-08-03T23:00:00"/>
    <x v="3"/>
    <x v="1"/>
    <s v="Morning"/>
    <n v="8"/>
    <n v="10"/>
    <s v="Plan C"/>
  </r>
  <r>
    <s v="PAT5045"/>
    <n v="39"/>
    <x v="4"/>
    <x v="1"/>
    <d v="2023-02-16T00:00:00"/>
    <d v="2023-02-27T00:00:00"/>
    <n v="11"/>
    <x v="3"/>
    <n v="5"/>
    <s v="Dr. Mehta"/>
    <n v="7956"/>
    <x v="2"/>
    <x v="1"/>
    <x v="1"/>
    <d v="2023-02-13T00:00:00"/>
    <d v="2023-02-14T12:00:00"/>
    <x v="3"/>
    <x v="0"/>
    <s v="Afternoon"/>
    <n v="9"/>
    <n v="10"/>
    <s v="Plan C"/>
  </r>
  <r>
    <s v="PAT5046"/>
    <n v="18"/>
    <x v="3"/>
    <x v="4"/>
    <d v="2023-08-22T00:00:00"/>
    <d v="2023-08-28T00:00:00"/>
    <n v="6"/>
    <x v="0"/>
    <n v="4"/>
    <s v="Dr. Rao"/>
    <n v="13077"/>
    <x v="3"/>
    <x v="1"/>
    <x v="1"/>
    <d v="2023-08-22T00:00:00"/>
    <d v="2023-08-23T01:00:00"/>
    <x v="4"/>
    <x v="0"/>
    <s v="Afternoon"/>
    <n v="8"/>
    <n v="10"/>
    <s v="Plan C"/>
  </r>
  <r>
    <s v="PAT5047"/>
    <n v="4"/>
    <x v="1"/>
    <x v="4"/>
    <d v="2023-10-24T00:00:00"/>
    <d v="2023-02-11T00:00:00"/>
    <n v="9"/>
    <x v="2"/>
    <n v="4"/>
    <s v="Dr. Rao"/>
    <n v="41490"/>
    <x v="1"/>
    <x v="1"/>
    <x v="0"/>
    <d v="2023-10-19T00:00:00"/>
    <d v="2023-10-20T04:00:00"/>
    <x v="2"/>
    <x v="0"/>
    <s v="Night"/>
    <n v="6"/>
    <n v="8"/>
    <s v="Plan A"/>
  </r>
  <r>
    <s v="PAT5048"/>
    <n v="89"/>
    <x v="2"/>
    <x v="5"/>
    <d v="2023-03-23T00:00:00"/>
    <d v="2023-07-04T00:00:00"/>
    <n v="15"/>
    <x v="4"/>
    <n v="5"/>
    <s v="Dr. Gupta"/>
    <n v="49827"/>
    <x v="1"/>
    <x v="1"/>
    <x v="1"/>
    <d v="2023-03-21T00:00:00"/>
    <d v="2023-03-21T12:00:00"/>
    <x v="3"/>
    <x v="0"/>
    <s v="Afternoon"/>
    <n v="6"/>
    <n v="8"/>
    <s v="Plan A"/>
  </r>
  <r>
    <s v="PAT5049"/>
    <n v="60"/>
    <x v="0"/>
    <x v="3"/>
    <d v="2023-08-27T00:00:00"/>
    <d v="2023-07-09T00:00:00"/>
    <n v="11"/>
    <x v="3"/>
    <n v="1"/>
    <s v="Dr. Rao"/>
    <n v="42855"/>
    <x v="3"/>
    <x v="1"/>
    <x v="0"/>
    <d v="2023-08-22T00:00:00"/>
    <d v="2023-08-23T20:00:00"/>
    <x v="3"/>
    <x v="0"/>
    <s v="Afternoon"/>
    <n v="11"/>
    <n v="8"/>
    <s v="Plan C"/>
  </r>
  <r>
    <s v="PAT5050"/>
    <n v="14"/>
    <x v="1"/>
    <x v="2"/>
    <d v="2023-04-14T00:00:00"/>
    <d v="2023-04-20T00:00:00"/>
    <n v="6"/>
    <x v="4"/>
    <n v="4"/>
    <s v="Dr. Rao"/>
    <n v="48106"/>
    <x v="1"/>
    <x v="0"/>
    <x v="0"/>
    <d v="2023-12-04T00:00:00"/>
    <d v="2023-04-13T14:00:00"/>
    <x v="1"/>
    <x v="0"/>
    <s v="Morning"/>
    <n v="4"/>
    <n v="12"/>
    <s v="Plan A"/>
  </r>
  <r>
    <s v="PAT5051"/>
    <n v="9"/>
    <x v="1"/>
    <x v="0"/>
    <d v="2024-01-25T00:00:00"/>
    <d v="2024-01-26T00:00:00"/>
    <n v="1"/>
    <x v="5"/>
    <n v="3"/>
    <s v="Dr. Patel"/>
    <n v="39938"/>
    <x v="4"/>
    <x v="0"/>
    <x v="0"/>
    <d v="2024-01-20T00:00:00"/>
    <d v="2024-01-21T19:00:00"/>
    <x v="1"/>
    <x v="0"/>
    <s v="Morning"/>
    <n v="10"/>
    <n v="12"/>
    <s v="Plan B"/>
  </r>
  <r>
    <s v="PAT5052"/>
    <n v="53"/>
    <x v="0"/>
    <x v="2"/>
    <d v="2023-12-10T00:00:00"/>
    <d v="2023-10-19T00:00:00"/>
    <n v="7"/>
    <x v="4"/>
    <n v="5"/>
    <s v="Dr. Mehta"/>
    <n v="41159"/>
    <x v="3"/>
    <x v="1"/>
    <x v="0"/>
    <d v="2023-12-10T00:00:00"/>
    <d v="2023-10-13T01:00:00"/>
    <x v="0"/>
    <x v="1"/>
    <s v="Night"/>
    <n v="7"/>
    <n v="12"/>
    <s v="Plan C"/>
  </r>
  <r>
    <s v="PAT5053"/>
    <n v="2"/>
    <x v="1"/>
    <x v="1"/>
    <d v="2024-09-04T00:00:00"/>
    <d v="2024-04-14T00:00:00"/>
    <n v="5"/>
    <x v="1"/>
    <n v="2"/>
    <s v="Dr. Patel"/>
    <n v="44710"/>
    <x v="4"/>
    <x v="0"/>
    <x v="0"/>
    <d v="2024-05-04T00:00:00"/>
    <d v="2024-05-04T06:00:00"/>
    <x v="4"/>
    <x v="0"/>
    <s v="Morning"/>
    <n v="4"/>
    <n v="10"/>
    <s v="Plan B"/>
  </r>
  <r>
    <s v="PAT5054"/>
    <n v="84"/>
    <x v="2"/>
    <x v="0"/>
    <d v="2024-09-01T00:00:00"/>
    <d v="2024-01-13T00:00:00"/>
    <n v="4"/>
    <x v="1"/>
    <n v="2"/>
    <s v="Dr. Patel"/>
    <n v="23000"/>
    <x v="4"/>
    <x v="0"/>
    <x v="1"/>
    <d v="2024-05-01T00:00:00"/>
    <d v="2024-06-01T16:00:00"/>
    <x v="2"/>
    <x v="0"/>
    <s v="Afternoon"/>
    <n v="4"/>
    <n v="10"/>
    <s v="Plan B"/>
  </r>
  <r>
    <s v="PAT5055"/>
    <n v="60"/>
    <x v="0"/>
    <x v="5"/>
    <d v="2023-06-16T00:00:00"/>
    <d v="2023-06-18T00:00:00"/>
    <n v="2"/>
    <x v="4"/>
    <n v="1"/>
    <s v="Dr. Sharma"/>
    <n v="18806"/>
    <x v="0"/>
    <x v="1"/>
    <x v="0"/>
    <d v="2023-06-14T00:00:00"/>
    <d v="2023-06-14T19:00:00"/>
    <x v="3"/>
    <x v="0"/>
    <s v="Afternoon"/>
    <n v="10"/>
    <n v="10"/>
    <s v="Plan C"/>
  </r>
  <r>
    <s v="PAT5056"/>
    <n v="71"/>
    <x v="2"/>
    <x v="5"/>
    <d v="2024-01-15T00:00:00"/>
    <d v="2024-01-29T00:00:00"/>
    <n v="14"/>
    <x v="1"/>
    <n v="3"/>
    <s v="Dr. Patel"/>
    <n v="17809"/>
    <x v="3"/>
    <x v="0"/>
    <x v="1"/>
    <d v="2024-01-13T00:00:00"/>
    <d v="2024-01-13T16:00:00"/>
    <x v="3"/>
    <x v="0"/>
    <s v="Afternoon"/>
    <n v="11"/>
    <n v="10"/>
    <s v="Plan B"/>
  </r>
  <r>
    <s v="PAT5057"/>
    <n v="44"/>
    <x v="4"/>
    <x v="3"/>
    <d v="2023-12-30T00:00:00"/>
    <d v="2024-01-13T00:00:00"/>
    <n v="14"/>
    <x v="5"/>
    <n v="4"/>
    <s v="Dr. Gupta"/>
    <n v="19855"/>
    <x v="1"/>
    <x v="0"/>
    <x v="1"/>
    <d v="2023-12-29T00:00:00"/>
    <d v="2023-12-30T22:00:00"/>
    <x v="0"/>
    <x v="0"/>
    <s v="Morning"/>
    <n v="11"/>
    <n v="10"/>
    <s v="Plan B"/>
  </r>
  <r>
    <s v="PAT5058"/>
    <n v="8"/>
    <x v="1"/>
    <x v="0"/>
    <d v="2023-03-08T00:00:00"/>
    <d v="2023-11-08T00:00:00"/>
    <n v="8"/>
    <x v="2"/>
    <n v="2"/>
    <s v="Dr. Gupta"/>
    <n v="46876"/>
    <x v="4"/>
    <x v="1"/>
    <x v="0"/>
    <d v="2023-07-29T00:00:00"/>
    <d v="2023-07-29T05:00:00"/>
    <x v="3"/>
    <x v="0"/>
    <s v="Afternoon"/>
    <n v="10"/>
    <n v="8"/>
    <s v="Plan B"/>
  </r>
  <r>
    <s v="PAT5059"/>
    <n v="47"/>
    <x v="4"/>
    <x v="4"/>
    <d v="2023-01-10T00:00:00"/>
    <d v="2023-03-10T00:00:00"/>
    <n v="2"/>
    <x v="1"/>
    <n v="1"/>
    <s v="Dr. Sharma"/>
    <n v="34388"/>
    <x v="0"/>
    <x v="1"/>
    <x v="0"/>
    <d v="2023-09-26T00:00:00"/>
    <d v="2023-09-26T06:00:00"/>
    <x v="4"/>
    <x v="0"/>
    <s v="Afternoon"/>
    <n v="6"/>
    <n v="10"/>
    <s v="Plan C"/>
  </r>
  <r>
    <s v="PAT5060"/>
    <n v="35"/>
    <x v="3"/>
    <x v="0"/>
    <d v="2023-03-15T00:00:00"/>
    <d v="2023-03-26T00:00:00"/>
    <n v="11"/>
    <x v="1"/>
    <n v="3"/>
    <s v="Dr. Mehta"/>
    <n v="11458"/>
    <x v="3"/>
    <x v="0"/>
    <x v="0"/>
    <d v="2023-10-03T00:00:00"/>
    <d v="2023-10-03T18:00:00"/>
    <x v="0"/>
    <x v="0"/>
    <s v="Night"/>
    <n v="10"/>
    <n v="8"/>
    <s v="Plan C"/>
  </r>
  <r>
    <s v="PAT5061"/>
    <n v="78"/>
    <x v="2"/>
    <x v="1"/>
    <d v="2023-06-25T00:00:00"/>
    <d v="2023-06-29T00:00:00"/>
    <n v="4"/>
    <x v="4"/>
    <n v="3"/>
    <s v="Dr. Mehta"/>
    <n v="40524"/>
    <x v="3"/>
    <x v="1"/>
    <x v="0"/>
    <d v="2023-06-20T00:00:00"/>
    <d v="2023-06-20T10:00:00"/>
    <x v="4"/>
    <x v="0"/>
    <s v="Night"/>
    <n v="8"/>
    <n v="12"/>
    <s v="Plan B"/>
  </r>
  <r>
    <s v="PAT5062"/>
    <n v="81"/>
    <x v="2"/>
    <x v="4"/>
    <d v="2023-08-09T00:00:00"/>
    <d v="2023-09-19T00:00:00"/>
    <n v="11"/>
    <x v="5"/>
    <n v="1"/>
    <s v="Dr. Patel"/>
    <n v="11853"/>
    <x v="2"/>
    <x v="1"/>
    <x v="0"/>
    <d v="2023-07-09T00:00:00"/>
    <d v="2023-08-09T01:00:00"/>
    <x v="0"/>
    <x v="0"/>
    <s v="Night"/>
    <n v="6"/>
    <n v="12"/>
    <s v="Plan C"/>
  </r>
  <r>
    <s v="PAT5063"/>
    <n v="36"/>
    <x v="4"/>
    <x v="5"/>
    <d v="2023-06-17T00:00:00"/>
    <d v="2023-06-28T00:00:00"/>
    <n v="11"/>
    <x v="2"/>
    <n v="1"/>
    <s v="Dr. Patel"/>
    <n v="45477"/>
    <x v="2"/>
    <x v="1"/>
    <x v="1"/>
    <d v="2023-06-15T00:00:00"/>
    <d v="2023-06-16T22:00:00"/>
    <x v="3"/>
    <x v="0"/>
    <s v="Morning"/>
    <n v="10"/>
    <n v="12"/>
    <s v="Plan C"/>
  </r>
  <r>
    <s v="PAT5064"/>
    <n v="50"/>
    <x v="4"/>
    <x v="0"/>
    <d v="2024-04-18T00:00:00"/>
    <d v="2024-04-28T00:00:00"/>
    <n v="10"/>
    <x v="4"/>
    <n v="4"/>
    <s v="Dr. Patel"/>
    <n v="37222"/>
    <x v="4"/>
    <x v="1"/>
    <x v="1"/>
    <d v="2024-04-14T00:00:00"/>
    <d v="2024-04-15T17:00:00"/>
    <x v="0"/>
    <x v="0"/>
    <s v="Afternoon"/>
    <n v="9"/>
    <n v="12"/>
    <s v="Plan B"/>
  </r>
  <r>
    <s v="PAT5065"/>
    <n v="4"/>
    <x v="1"/>
    <x v="2"/>
    <d v="2024-01-24T00:00:00"/>
    <d v="2024-01-25T00:00:00"/>
    <n v="1"/>
    <x v="4"/>
    <n v="1"/>
    <s v="Dr. Mehta"/>
    <n v="23320"/>
    <x v="2"/>
    <x v="0"/>
    <x v="1"/>
    <d v="2024-01-23T00:00:00"/>
    <d v="2024-01-23T10:00:00"/>
    <x v="1"/>
    <x v="0"/>
    <s v="Afternoon"/>
    <n v="6"/>
    <n v="12"/>
    <s v="Plan C"/>
  </r>
  <r>
    <s v="PAT5066"/>
    <n v="2"/>
    <x v="1"/>
    <x v="3"/>
    <d v="2023-04-10T00:00:00"/>
    <d v="2023-05-10T00:00:00"/>
    <n v="1"/>
    <x v="0"/>
    <n v="4"/>
    <s v="Dr. Rao"/>
    <n v="33618"/>
    <x v="4"/>
    <x v="1"/>
    <x v="1"/>
    <d v="2023-04-10T00:00:00"/>
    <d v="2023-06-10T00:00:00"/>
    <x v="2"/>
    <x v="0"/>
    <s v="Afternoon"/>
    <n v="6"/>
    <n v="10"/>
    <s v="Plan A"/>
  </r>
  <r>
    <s v="PAT5067"/>
    <n v="6"/>
    <x v="1"/>
    <x v="2"/>
    <d v="2023-08-13T00:00:00"/>
    <d v="2023-08-26T00:00:00"/>
    <n v="13"/>
    <x v="5"/>
    <n v="4"/>
    <s v="Dr. Gupta"/>
    <n v="22352"/>
    <x v="1"/>
    <x v="1"/>
    <x v="0"/>
    <d v="2023-12-08T00:00:00"/>
    <d v="2023-08-13T01:00:00"/>
    <x v="3"/>
    <x v="0"/>
    <s v="Night"/>
    <n v="4"/>
    <n v="10"/>
    <s v="Plan C"/>
  </r>
  <r>
    <s v="PAT5068"/>
    <n v="54"/>
    <x v="0"/>
    <x v="3"/>
    <d v="2023-11-29T00:00:00"/>
    <d v="2023-05-12T00:00:00"/>
    <n v="6"/>
    <x v="2"/>
    <n v="5"/>
    <s v="Dr. Rao"/>
    <n v="12297"/>
    <x v="4"/>
    <x v="0"/>
    <x v="0"/>
    <d v="2023-11-28T00:00:00"/>
    <d v="2023-11-28T21:00:00"/>
    <x v="2"/>
    <x v="0"/>
    <s v="Afternoon"/>
    <n v="7"/>
    <n v="10"/>
    <s v="Plan A"/>
  </r>
  <r>
    <s v="PAT5069"/>
    <n v="4"/>
    <x v="1"/>
    <x v="1"/>
    <d v="2023-02-27T00:00:00"/>
    <d v="2023-03-03T00:00:00"/>
    <n v="4"/>
    <x v="5"/>
    <n v="3"/>
    <s v="Dr. Rao"/>
    <n v="32940"/>
    <x v="2"/>
    <x v="1"/>
    <x v="1"/>
    <d v="2023-02-26T00:00:00"/>
    <d v="2023-02-27T00:00:00"/>
    <x v="3"/>
    <x v="0"/>
    <s v="Afternoon"/>
    <n v="4"/>
    <n v="12"/>
    <s v="Plan B"/>
  </r>
  <r>
    <s v="PAT5070"/>
    <n v="54"/>
    <x v="0"/>
    <x v="2"/>
    <d v="2023-08-23T00:00:00"/>
    <d v="2023-08-26T00:00:00"/>
    <n v="3"/>
    <x v="2"/>
    <n v="3"/>
    <s v="Dr. Mehta"/>
    <n v="8203"/>
    <x v="1"/>
    <x v="1"/>
    <x v="0"/>
    <d v="2023-08-20T00:00:00"/>
    <d v="2023-08-20T07:00:00"/>
    <x v="2"/>
    <x v="0"/>
    <s v="Afternoon"/>
    <n v="5"/>
    <n v="12"/>
    <s v="Plan C"/>
  </r>
  <r>
    <s v="PAT5071"/>
    <n v="63"/>
    <x v="0"/>
    <x v="0"/>
    <d v="2023-02-02T00:00:00"/>
    <d v="2023-02-15T00:00:00"/>
    <n v="13"/>
    <x v="5"/>
    <n v="3"/>
    <s v="Dr. Rao"/>
    <n v="44267"/>
    <x v="2"/>
    <x v="1"/>
    <x v="0"/>
    <d v="2023-02-02T00:00:00"/>
    <d v="2023-02-02T06:00:00"/>
    <x v="1"/>
    <x v="0"/>
    <s v="Afternoon"/>
    <n v="6"/>
    <n v="8"/>
    <s v="Plan B"/>
  </r>
  <r>
    <s v="PAT5072"/>
    <n v="18"/>
    <x v="3"/>
    <x v="0"/>
    <d v="2023-11-20T00:00:00"/>
    <d v="2023-11-30T00:00:00"/>
    <n v="10"/>
    <x v="4"/>
    <n v="5"/>
    <s v="Dr. Sharma"/>
    <n v="42941"/>
    <x v="4"/>
    <x v="0"/>
    <x v="1"/>
    <d v="2023-11-18T00:00:00"/>
    <d v="2023-11-18T01:00:00"/>
    <x v="2"/>
    <x v="0"/>
    <s v="Afternoon"/>
    <n v="10"/>
    <n v="10"/>
    <s v="Plan B"/>
  </r>
  <r>
    <s v="PAT5073"/>
    <n v="44"/>
    <x v="4"/>
    <x v="2"/>
    <d v="2024-02-15T00:00:00"/>
    <d v="2024-02-19T00:00:00"/>
    <n v="4"/>
    <x v="4"/>
    <n v="4"/>
    <s v="Dr. Patel"/>
    <n v="22273"/>
    <x v="0"/>
    <x v="1"/>
    <x v="1"/>
    <d v="2024-11-02T00:00:00"/>
    <d v="2024-11-02T20:00:00"/>
    <x v="0"/>
    <x v="0"/>
    <s v="Morning"/>
    <n v="10"/>
    <n v="12"/>
    <s v="Plan B"/>
  </r>
  <r>
    <s v="PAT5074"/>
    <n v="34"/>
    <x v="3"/>
    <x v="0"/>
    <d v="2023-02-10T00:00:00"/>
    <d v="2023-04-10T00:00:00"/>
    <n v="2"/>
    <x v="3"/>
    <n v="4"/>
    <s v="Dr. Sharma"/>
    <n v="30368"/>
    <x v="3"/>
    <x v="1"/>
    <x v="1"/>
    <d v="2023-09-28T00:00:00"/>
    <d v="2023-09-29T05:00:00"/>
    <x v="2"/>
    <x v="0"/>
    <s v="Afternoon"/>
    <n v="10"/>
    <n v="12"/>
    <s v="Plan B"/>
  </r>
  <r>
    <s v="PAT5075"/>
    <n v="74"/>
    <x v="2"/>
    <x v="1"/>
    <d v="2023-09-03T00:00:00"/>
    <d v="2023-03-23T00:00:00"/>
    <n v="14"/>
    <x v="1"/>
    <n v="1"/>
    <s v="Dr. Gupta"/>
    <n v="16650"/>
    <x v="2"/>
    <x v="1"/>
    <x v="1"/>
    <d v="2023-07-03T00:00:00"/>
    <d v="2023-08-03T00:00:00"/>
    <x v="3"/>
    <x v="0"/>
    <s v="Morning"/>
    <n v="6"/>
    <n v="12"/>
    <s v="Plan B"/>
  </r>
  <r>
    <s v="PAT5076"/>
    <n v="62"/>
    <x v="0"/>
    <x v="4"/>
    <d v="2023-05-08T00:00:00"/>
    <d v="2023-08-18T00:00:00"/>
    <n v="13"/>
    <x v="0"/>
    <n v="5"/>
    <s v="Dr. Patel"/>
    <n v="35984"/>
    <x v="4"/>
    <x v="1"/>
    <x v="1"/>
    <d v="2023-02-08T00:00:00"/>
    <d v="2023-02-08T18:00:00"/>
    <x v="4"/>
    <x v="0"/>
    <s v="Afternoon"/>
    <n v="10"/>
    <n v="8"/>
    <s v="Plan C"/>
  </r>
  <r>
    <s v="PAT5077"/>
    <n v="14"/>
    <x v="1"/>
    <x v="1"/>
    <d v="2023-11-19T00:00:00"/>
    <d v="2023-11-28T00:00:00"/>
    <n v="9"/>
    <x v="5"/>
    <n v="1"/>
    <s v="Dr. Rao"/>
    <n v="46941"/>
    <x v="1"/>
    <x v="1"/>
    <x v="0"/>
    <d v="2023-11-15T00:00:00"/>
    <d v="2023-11-15T07:00:00"/>
    <x v="2"/>
    <x v="0"/>
    <s v="Morning"/>
    <n v="5"/>
    <n v="12"/>
    <s v="Plan A"/>
  </r>
  <r>
    <s v="PAT5078"/>
    <n v="48"/>
    <x v="4"/>
    <x v="3"/>
    <d v="2023-06-08T00:00:00"/>
    <d v="2023-10-08T00:00:00"/>
    <n v="4"/>
    <x v="0"/>
    <n v="5"/>
    <s v="Dr. Gupta"/>
    <n v="12382"/>
    <x v="2"/>
    <x v="1"/>
    <x v="1"/>
    <d v="2023-05-08T00:00:00"/>
    <d v="2023-05-08T09:00:00"/>
    <x v="2"/>
    <x v="0"/>
    <s v="Afternoon"/>
    <n v="6"/>
    <n v="8"/>
    <s v="Plan C"/>
  </r>
  <r>
    <s v="PAT5079"/>
    <n v="15"/>
    <x v="1"/>
    <x v="1"/>
    <d v="2024-05-26T00:00:00"/>
    <d v="2024-05-06T00:00:00"/>
    <n v="10"/>
    <x v="3"/>
    <n v="1"/>
    <s v="Dr. Patel"/>
    <n v="5801"/>
    <x v="2"/>
    <x v="0"/>
    <x v="0"/>
    <d v="2024-05-22T00:00:00"/>
    <d v="2024-05-22T06:00:00"/>
    <x v="2"/>
    <x v="0"/>
    <s v="Afternoon"/>
    <n v="10"/>
    <n v="8"/>
    <s v="Plan C"/>
  </r>
  <r>
    <s v="PAT5080"/>
    <n v="72"/>
    <x v="2"/>
    <x v="3"/>
    <d v="2024-10-02T00:00:00"/>
    <d v="2024-02-14T00:00:00"/>
    <n v="4"/>
    <x v="1"/>
    <n v="2"/>
    <s v="Dr. Rao"/>
    <n v="46002"/>
    <x v="3"/>
    <x v="1"/>
    <x v="0"/>
    <d v="2024-10-02T00:00:00"/>
    <d v="2024-10-02T12:00:00"/>
    <x v="3"/>
    <x v="0"/>
    <s v="Afternoon"/>
    <n v="6"/>
    <n v="10"/>
    <s v="Plan C"/>
  </r>
  <r>
    <s v="PAT5081"/>
    <n v="78"/>
    <x v="2"/>
    <x v="0"/>
    <d v="2024-04-14T00:00:00"/>
    <d v="2024-04-28T00:00:00"/>
    <n v="14"/>
    <x v="5"/>
    <n v="3"/>
    <s v="Dr. Sharma"/>
    <n v="24733"/>
    <x v="4"/>
    <x v="0"/>
    <x v="0"/>
    <d v="2024-04-14T00:00:00"/>
    <d v="2024-04-15T04:00:00"/>
    <x v="2"/>
    <x v="0"/>
    <s v="Afternoon"/>
    <n v="9"/>
    <n v="12"/>
    <s v="Plan C"/>
  </r>
  <r>
    <s v="PAT5082"/>
    <n v="87"/>
    <x v="2"/>
    <x v="4"/>
    <d v="2023-05-27T00:00:00"/>
    <d v="2023-10-06T00:00:00"/>
    <n v="14"/>
    <x v="2"/>
    <n v="3"/>
    <s v="Dr. Patel"/>
    <n v="14969"/>
    <x v="0"/>
    <x v="1"/>
    <x v="0"/>
    <d v="2023-05-25T00:00:00"/>
    <d v="2023-05-26T05:00:00"/>
    <x v="3"/>
    <x v="0"/>
    <s v="Night"/>
    <n v="6"/>
    <n v="8"/>
    <s v="Plan A"/>
  </r>
  <r>
    <s v="PAT5083"/>
    <n v="62"/>
    <x v="0"/>
    <x v="0"/>
    <d v="2023-09-29T00:00:00"/>
    <d v="2023-03-10T00:00:00"/>
    <n v="4"/>
    <x v="1"/>
    <n v="4"/>
    <s v="Dr. Rao"/>
    <n v="40969"/>
    <x v="1"/>
    <x v="0"/>
    <x v="1"/>
    <d v="2023-09-26T00:00:00"/>
    <d v="2023-09-27T12:00:00"/>
    <x v="3"/>
    <x v="0"/>
    <s v="Afternoon"/>
    <n v="5"/>
    <n v="12"/>
    <s v="Plan C"/>
  </r>
  <r>
    <s v="PAT5084"/>
    <n v="40"/>
    <x v="4"/>
    <x v="5"/>
    <d v="2023-05-23T00:00:00"/>
    <d v="2023-05-29T00:00:00"/>
    <n v="6"/>
    <x v="4"/>
    <n v="2"/>
    <s v="Dr. Sharma"/>
    <n v="21733"/>
    <x v="4"/>
    <x v="1"/>
    <x v="0"/>
    <d v="2023-05-18T00:00:00"/>
    <d v="2023-05-19T12:00:00"/>
    <x v="4"/>
    <x v="0"/>
    <s v="Morning"/>
    <n v="4"/>
    <n v="10"/>
    <s v="Plan B"/>
  </r>
  <r>
    <s v="PAT5085"/>
    <n v="85"/>
    <x v="2"/>
    <x v="0"/>
    <d v="2023-10-09T00:00:00"/>
    <d v="2023-09-23T00:00:00"/>
    <n v="13"/>
    <x v="3"/>
    <n v="3"/>
    <s v="Dr. Gupta"/>
    <n v="37449"/>
    <x v="1"/>
    <x v="0"/>
    <x v="0"/>
    <d v="2023-05-09T00:00:00"/>
    <d v="2023-06-09T09:00:00"/>
    <x v="0"/>
    <x v="0"/>
    <s v="Night"/>
    <n v="6"/>
    <n v="10"/>
    <s v="Plan C"/>
  </r>
  <r>
    <s v="PAT5086"/>
    <n v="80"/>
    <x v="2"/>
    <x v="3"/>
    <d v="2023-09-27T00:00:00"/>
    <d v="2023-09-30T00:00:00"/>
    <n v="3"/>
    <x v="1"/>
    <n v="4"/>
    <s v="Dr. Gupta"/>
    <n v="31143"/>
    <x v="2"/>
    <x v="1"/>
    <x v="1"/>
    <d v="2023-09-24T00:00:00"/>
    <d v="2023-09-25T03:00:00"/>
    <x v="3"/>
    <x v="0"/>
    <s v="Night"/>
    <n v="7"/>
    <n v="8"/>
    <s v="Plan C"/>
  </r>
  <r>
    <s v="PAT5087"/>
    <n v="82"/>
    <x v="2"/>
    <x v="0"/>
    <d v="2024-03-14T00:00:00"/>
    <d v="2024-03-27T00:00:00"/>
    <n v="13"/>
    <x v="1"/>
    <n v="2"/>
    <s v="Dr. Gupta"/>
    <n v="30705"/>
    <x v="3"/>
    <x v="1"/>
    <x v="1"/>
    <d v="2024-10-03T00:00:00"/>
    <d v="2024-10-03T07:00:00"/>
    <x v="1"/>
    <x v="0"/>
    <s v="Afternoon"/>
    <n v="5"/>
    <n v="10"/>
    <s v="Plan A"/>
  </r>
  <r>
    <s v="PAT5088"/>
    <n v="53"/>
    <x v="0"/>
    <x v="0"/>
    <d v="2024-02-13T00:00:00"/>
    <d v="2024-02-28T00:00:00"/>
    <n v="15"/>
    <x v="4"/>
    <n v="3"/>
    <s v="Dr. Gupta"/>
    <n v="33363"/>
    <x v="3"/>
    <x v="1"/>
    <x v="0"/>
    <d v="2024-10-02T00:00:00"/>
    <d v="2024-10-02T02:00:00"/>
    <x v="2"/>
    <x v="0"/>
    <s v="Morning"/>
    <n v="8"/>
    <n v="10"/>
    <s v="Plan A"/>
  </r>
  <r>
    <s v="PAT5089"/>
    <n v="24"/>
    <x v="3"/>
    <x v="4"/>
    <d v="2024-06-01T00:00:00"/>
    <d v="2024-01-16T00:00:00"/>
    <n v="10"/>
    <x v="5"/>
    <n v="1"/>
    <s v="Dr. Mehta"/>
    <n v="35720"/>
    <x v="0"/>
    <x v="0"/>
    <x v="0"/>
    <d v="2024-03-01T00:00:00"/>
    <d v="2024-03-01T06:00:00"/>
    <x v="1"/>
    <x v="0"/>
    <s v="Morning"/>
    <n v="9"/>
    <n v="10"/>
    <s v="Plan B"/>
  </r>
  <r>
    <s v="PAT5090"/>
    <n v="26"/>
    <x v="3"/>
    <x v="0"/>
    <d v="2023-08-13T00:00:00"/>
    <d v="2023-08-14T00:00:00"/>
    <n v="1"/>
    <x v="2"/>
    <n v="5"/>
    <s v="Dr. Patel"/>
    <n v="14972"/>
    <x v="3"/>
    <x v="1"/>
    <x v="0"/>
    <d v="2023-09-08T00:00:00"/>
    <d v="2023-09-08T23:00:00"/>
    <x v="2"/>
    <x v="0"/>
    <s v="Night"/>
    <n v="5"/>
    <n v="12"/>
    <s v="Plan C"/>
  </r>
  <r>
    <s v="PAT5091"/>
    <n v="89"/>
    <x v="2"/>
    <x v="4"/>
    <d v="2023-05-22T00:00:00"/>
    <d v="2023-05-27T00:00:00"/>
    <n v="5"/>
    <x v="4"/>
    <n v="2"/>
    <s v="Dr. Patel"/>
    <n v="38351"/>
    <x v="2"/>
    <x v="1"/>
    <x v="0"/>
    <d v="2023-05-22T00:00:00"/>
    <d v="2023-05-23T12:00:00"/>
    <x v="4"/>
    <x v="0"/>
    <s v="Morning"/>
    <n v="4"/>
    <n v="12"/>
    <s v="Plan C"/>
  </r>
  <r>
    <s v="PAT5092"/>
    <n v="60"/>
    <x v="0"/>
    <x v="2"/>
    <d v="2024-05-06T00:00:00"/>
    <d v="2024-06-19T00:00:00"/>
    <n v="14"/>
    <x v="2"/>
    <n v="4"/>
    <s v="Dr. Mehta"/>
    <n v="41145"/>
    <x v="0"/>
    <x v="0"/>
    <x v="0"/>
    <d v="2024-04-06T00:00:00"/>
    <d v="2024-04-06T06:00:00"/>
    <x v="3"/>
    <x v="0"/>
    <s v="Afternoon"/>
    <n v="10"/>
    <n v="8"/>
    <s v="Plan C"/>
  </r>
  <r>
    <s v="PAT5093"/>
    <n v="41"/>
    <x v="4"/>
    <x v="5"/>
    <d v="2024-05-20T00:00:00"/>
    <d v="2024-05-23T00:00:00"/>
    <n v="3"/>
    <x v="5"/>
    <n v="2"/>
    <s v="Dr. Rao"/>
    <n v="27412"/>
    <x v="4"/>
    <x v="1"/>
    <x v="1"/>
    <d v="2024-05-18T00:00:00"/>
    <d v="2024-05-19T15:00:00"/>
    <x v="0"/>
    <x v="1"/>
    <s v="Afternoon"/>
    <n v="10"/>
    <n v="8"/>
    <s v="Plan B"/>
  </r>
  <r>
    <s v="PAT5094"/>
    <n v="29"/>
    <x v="3"/>
    <x v="4"/>
    <d v="2023-04-04T00:00:00"/>
    <d v="2023-07-04T00:00:00"/>
    <n v="3"/>
    <x v="1"/>
    <n v="4"/>
    <s v="Dr. Rao"/>
    <n v="29078"/>
    <x v="3"/>
    <x v="0"/>
    <x v="0"/>
    <d v="2023-03-30T00:00:00"/>
    <d v="2023-03-31T15:00:00"/>
    <x v="3"/>
    <x v="0"/>
    <s v="Afternoon"/>
    <n v="5"/>
    <n v="10"/>
    <s v="Plan A"/>
  </r>
  <r>
    <s v="PAT5095"/>
    <n v="15"/>
    <x v="1"/>
    <x v="3"/>
    <d v="2023-02-18T00:00:00"/>
    <d v="2023-02-27T00:00:00"/>
    <n v="9"/>
    <x v="2"/>
    <n v="2"/>
    <s v="Dr. Gupta"/>
    <n v="27580"/>
    <x v="0"/>
    <x v="0"/>
    <x v="1"/>
    <d v="2023-02-18T00:00:00"/>
    <d v="2023-02-18T21:00:00"/>
    <x v="2"/>
    <x v="0"/>
    <s v="Afternoon"/>
    <n v="8"/>
    <n v="10"/>
    <s v="Plan B"/>
  </r>
  <r>
    <s v="PAT5096"/>
    <n v="45"/>
    <x v="4"/>
    <x v="2"/>
    <d v="2023-04-23T00:00:00"/>
    <d v="2023-04-28T00:00:00"/>
    <n v="5"/>
    <x v="3"/>
    <n v="4"/>
    <s v="Dr. Sharma"/>
    <n v="19855"/>
    <x v="2"/>
    <x v="0"/>
    <x v="1"/>
    <d v="2023-04-20T00:00:00"/>
    <d v="2023-04-21T01:00:00"/>
    <x v="0"/>
    <x v="0"/>
    <s v="Afternoon"/>
    <n v="10"/>
    <n v="8"/>
    <s v="Plan C"/>
  </r>
  <r>
    <s v="PAT5097"/>
    <n v="65"/>
    <x v="0"/>
    <x v="4"/>
    <d v="2023-06-06T00:00:00"/>
    <d v="2023-06-19T00:00:00"/>
    <n v="13"/>
    <x v="3"/>
    <n v="3"/>
    <s v="Dr. Rao"/>
    <n v="41169"/>
    <x v="1"/>
    <x v="1"/>
    <x v="0"/>
    <d v="2023-03-06T00:00:00"/>
    <d v="2023-03-06T01:00:00"/>
    <x v="3"/>
    <x v="1"/>
    <s v="Night"/>
    <n v="9"/>
    <n v="10"/>
    <s v="Plan A"/>
  </r>
  <r>
    <s v="PAT5098"/>
    <n v="89"/>
    <x v="2"/>
    <x v="4"/>
    <d v="2023-06-13T00:00:00"/>
    <d v="2023-06-16T00:00:00"/>
    <n v="3"/>
    <x v="4"/>
    <n v="1"/>
    <s v="Dr. Sharma"/>
    <n v="24569"/>
    <x v="1"/>
    <x v="1"/>
    <x v="0"/>
    <d v="2023-08-06T00:00:00"/>
    <d v="2023-08-06T19:00:00"/>
    <x v="0"/>
    <x v="1"/>
    <s v="Afternoon"/>
    <n v="7"/>
    <n v="8"/>
    <s v="Plan A"/>
  </r>
  <r>
    <s v="PAT5099"/>
    <n v="71"/>
    <x v="2"/>
    <x v="5"/>
    <d v="2024-08-03T00:00:00"/>
    <d v="2024-10-03T00:00:00"/>
    <n v="2"/>
    <x v="5"/>
    <n v="3"/>
    <s v="Dr. Patel"/>
    <n v="30738"/>
    <x v="2"/>
    <x v="1"/>
    <x v="0"/>
    <d v="2024-04-03T00:00:00"/>
    <d v="2024-05-03T03:00:00"/>
    <x v="2"/>
    <x v="0"/>
    <s v="Afternoon"/>
    <n v="8"/>
    <n v="12"/>
    <s v="Plan B"/>
  </r>
  <r>
    <s v="PAT5100"/>
    <n v="9"/>
    <x v="1"/>
    <x v="3"/>
    <d v="2023-07-03T00:00:00"/>
    <d v="2023-03-18T00:00:00"/>
    <n v="11"/>
    <x v="4"/>
    <n v="1"/>
    <s v="Dr. Sharma"/>
    <n v="11772"/>
    <x v="2"/>
    <x v="0"/>
    <x v="0"/>
    <d v="2023-05-03T00:00:00"/>
    <d v="2023-06-03T01:00:00"/>
    <x v="4"/>
    <x v="0"/>
    <s v="Night"/>
    <n v="11"/>
    <n v="10"/>
    <s v="Plan A"/>
  </r>
  <r>
    <s v="PAT5101"/>
    <n v="88"/>
    <x v="2"/>
    <x v="1"/>
    <d v="2024-01-30T00:00:00"/>
    <d v="2024-02-13T00:00:00"/>
    <n v="14"/>
    <x v="4"/>
    <n v="3"/>
    <s v="Dr. Patel"/>
    <n v="29874"/>
    <x v="1"/>
    <x v="1"/>
    <x v="0"/>
    <d v="2024-01-29T00:00:00"/>
    <d v="2024-01-29T06:00:00"/>
    <x v="4"/>
    <x v="0"/>
    <s v="Night"/>
    <n v="11"/>
    <n v="10"/>
    <s v="Plan A"/>
  </r>
  <r>
    <s v="PAT5102"/>
    <n v="1"/>
    <x v="1"/>
    <x v="1"/>
    <d v="2024-01-26T00:00:00"/>
    <d v="2024-01-27T00:00:00"/>
    <n v="1"/>
    <x v="0"/>
    <n v="3"/>
    <s v="Dr. Mehta"/>
    <n v="24731"/>
    <x v="0"/>
    <x v="1"/>
    <x v="1"/>
    <d v="2024-01-22T00:00:00"/>
    <d v="2024-01-23T23:00:00"/>
    <x v="3"/>
    <x v="0"/>
    <s v="Night"/>
    <n v="5"/>
    <n v="10"/>
    <s v="Plan C"/>
  </r>
  <r>
    <s v="PAT5103"/>
    <n v="8"/>
    <x v="1"/>
    <x v="4"/>
    <d v="2024-04-24T00:00:00"/>
    <d v="2024-04-27T00:00:00"/>
    <n v="3"/>
    <x v="4"/>
    <n v="2"/>
    <s v="Dr. Mehta"/>
    <n v="15131"/>
    <x v="1"/>
    <x v="0"/>
    <x v="1"/>
    <d v="2024-04-19T00:00:00"/>
    <d v="2024-04-20T12:00:00"/>
    <x v="1"/>
    <x v="0"/>
    <s v="Morning"/>
    <n v="8"/>
    <n v="12"/>
    <s v="Plan C"/>
  </r>
  <r>
    <s v="PAT5104"/>
    <n v="88"/>
    <x v="2"/>
    <x v="0"/>
    <d v="2023-09-15T00:00:00"/>
    <d v="2023-09-16T00:00:00"/>
    <n v="1"/>
    <x v="0"/>
    <n v="5"/>
    <s v="Dr. Gupta"/>
    <n v="5788"/>
    <x v="2"/>
    <x v="1"/>
    <x v="1"/>
    <d v="2023-11-09T00:00:00"/>
    <d v="2023-11-09T16:00:00"/>
    <x v="2"/>
    <x v="0"/>
    <s v="Morning"/>
    <n v="10"/>
    <n v="12"/>
    <s v="Plan A"/>
  </r>
  <r>
    <s v="PAT5105"/>
    <n v="63"/>
    <x v="0"/>
    <x v="3"/>
    <d v="2023-12-01T00:00:00"/>
    <d v="2023-01-18T00:00:00"/>
    <n v="6"/>
    <x v="3"/>
    <n v="4"/>
    <s v="Dr. Rao"/>
    <n v="21184"/>
    <x v="3"/>
    <x v="0"/>
    <x v="0"/>
    <d v="2023-11-01T00:00:00"/>
    <d v="2023-12-01T13:00:00"/>
    <x v="3"/>
    <x v="0"/>
    <s v="Afternoon"/>
    <n v="10"/>
    <n v="10"/>
    <s v="Plan A"/>
  </r>
  <r>
    <s v="PAT5106"/>
    <n v="11"/>
    <x v="1"/>
    <x v="2"/>
    <d v="2023-04-28T00:00:00"/>
    <d v="2023-11-05T00:00:00"/>
    <n v="13"/>
    <x v="3"/>
    <n v="4"/>
    <s v="Dr. Gupta"/>
    <n v="35897"/>
    <x v="4"/>
    <x v="0"/>
    <x v="0"/>
    <d v="2023-04-27T00:00:00"/>
    <d v="2023-04-28T10:00:00"/>
    <x v="3"/>
    <x v="0"/>
    <s v="Afternoon"/>
    <n v="5"/>
    <n v="8"/>
    <s v="Plan B"/>
  </r>
  <r>
    <s v="PAT5107"/>
    <n v="81"/>
    <x v="2"/>
    <x v="0"/>
    <d v="2023-01-10T00:00:00"/>
    <d v="2023-10-14T00:00:00"/>
    <n v="13"/>
    <x v="4"/>
    <n v="4"/>
    <s v="Dr. Patel"/>
    <n v="7889"/>
    <x v="3"/>
    <x v="0"/>
    <x v="0"/>
    <d v="2023-09-28T00:00:00"/>
    <d v="2023-09-28T11:00:00"/>
    <x v="4"/>
    <x v="0"/>
    <s v="Afternoon"/>
    <n v="10"/>
    <n v="12"/>
    <s v="Plan B"/>
  </r>
  <r>
    <s v="PAT5108"/>
    <n v="8"/>
    <x v="1"/>
    <x v="0"/>
    <d v="2023-12-15T00:00:00"/>
    <d v="2023-12-19T00:00:00"/>
    <n v="4"/>
    <x v="3"/>
    <n v="1"/>
    <s v="Dr. Gupta"/>
    <n v="14569"/>
    <x v="3"/>
    <x v="0"/>
    <x v="0"/>
    <d v="2023-11-12T00:00:00"/>
    <d v="2023-12-12T20:00:00"/>
    <x v="0"/>
    <x v="0"/>
    <s v="Morning"/>
    <n v="10"/>
    <n v="10"/>
    <s v="Plan A"/>
  </r>
  <r>
    <s v="PAT5109"/>
    <n v="35"/>
    <x v="3"/>
    <x v="3"/>
    <d v="2023-04-25T00:00:00"/>
    <d v="2023-05-05T00:00:00"/>
    <n v="10"/>
    <x v="5"/>
    <n v="4"/>
    <s v="Dr. Sharma"/>
    <n v="26657"/>
    <x v="2"/>
    <x v="1"/>
    <x v="0"/>
    <d v="2023-04-25T00:00:00"/>
    <d v="2023-04-26T01:00:00"/>
    <x v="2"/>
    <x v="0"/>
    <s v="Afternoon"/>
    <n v="7"/>
    <n v="10"/>
    <s v="Plan C"/>
  </r>
  <r>
    <s v="PAT5110"/>
    <n v="35"/>
    <x v="3"/>
    <x v="4"/>
    <d v="2023-10-28T00:00:00"/>
    <d v="2023-03-11T00:00:00"/>
    <n v="6"/>
    <x v="0"/>
    <n v="4"/>
    <s v="Dr. Patel"/>
    <n v="15141"/>
    <x v="1"/>
    <x v="1"/>
    <x v="1"/>
    <d v="2023-10-28T00:00:00"/>
    <d v="2023-10-28T11:00:00"/>
    <x v="0"/>
    <x v="0"/>
    <s v="Afternoon"/>
    <n v="7"/>
    <n v="12"/>
    <s v="Plan A"/>
  </r>
  <r>
    <s v="PAT5111"/>
    <n v="33"/>
    <x v="3"/>
    <x v="4"/>
    <d v="2024-03-21T00:00:00"/>
    <d v="2024-03-22T00:00:00"/>
    <n v="1"/>
    <x v="0"/>
    <n v="2"/>
    <s v="Dr. Mehta"/>
    <n v="24656"/>
    <x v="0"/>
    <x v="0"/>
    <x v="1"/>
    <d v="2024-03-17T00:00:00"/>
    <d v="2024-03-17T09:00:00"/>
    <x v="2"/>
    <x v="0"/>
    <s v="Morning"/>
    <n v="4"/>
    <n v="8"/>
    <s v="Plan A"/>
  </r>
  <r>
    <s v="PAT5112"/>
    <n v="5"/>
    <x v="1"/>
    <x v="4"/>
    <d v="2023-11-06T00:00:00"/>
    <d v="2023-06-14T00:00:00"/>
    <n v="3"/>
    <x v="4"/>
    <n v="3"/>
    <s v="Dr. Rao"/>
    <n v="26618"/>
    <x v="3"/>
    <x v="1"/>
    <x v="0"/>
    <d v="2023-10-06T00:00:00"/>
    <d v="2023-10-06T18:00:00"/>
    <x v="1"/>
    <x v="0"/>
    <s v="Night"/>
    <n v="7"/>
    <n v="10"/>
    <s v="Plan C"/>
  </r>
  <r>
    <s v="PAT5113"/>
    <n v="41"/>
    <x v="4"/>
    <x v="4"/>
    <d v="2024-09-04T00:00:00"/>
    <d v="2024-04-14T00:00:00"/>
    <n v="5"/>
    <x v="3"/>
    <n v="4"/>
    <s v="Dr. Patel"/>
    <n v="16934"/>
    <x v="1"/>
    <x v="1"/>
    <x v="0"/>
    <d v="2024-07-04T00:00:00"/>
    <d v="2024-07-04T20:00:00"/>
    <x v="4"/>
    <x v="0"/>
    <s v="Morning"/>
    <n v="6"/>
    <n v="8"/>
    <s v="Plan C"/>
  </r>
  <r>
    <s v="PAT5114"/>
    <n v="28"/>
    <x v="3"/>
    <x v="1"/>
    <d v="2023-04-01T00:00:00"/>
    <d v="2023-05-01T00:00:00"/>
    <n v="1"/>
    <x v="2"/>
    <n v="5"/>
    <s v="Dr. Patel"/>
    <n v="47537"/>
    <x v="0"/>
    <x v="0"/>
    <x v="0"/>
    <d v="2023-03-01T00:00:00"/>
    <d v="2023-03-01T18:00:00"/>
    <x v="1"/>
    <x v="0"/>
    <s v="Afternoon"/>
    <n v="8"/>
    <n v="8"/>
    <s v="Plan B"/>
  </r>
  <r>
    <s v="PAT5115"/>
    <n v="7"/>
    <x v="1"/>
    <x v="4"/>
    <d v="2023-09-27T00:00:00"/>
    <d v="2023-09-30T00:00:00"/>
    <n v="3"/>
    <x v="0"/>
    <n v="4"/>
    <s v="Dr. Sharma"/>
    <n v="28286"/>
    <x v="3"/>
    <x v="1"/>
    <x v="1"/>
    <d v="2023-09-26T00:00:00"/>
    <d v="2023-09-27T08:00:00"/>
    <x v="3"/>
    <x v="0"/>
    <s v="Morning"/>
    <n v="8"/>
    <n v="12"/>
    <s v="Plan B"/>
  </r>
  <r>
    <s v="PAT5116"/>
    <n v="73"/>
    <x v="2"/>
    <x v="1"/>
    <d v="2024-05-27T00:00:00"/>
    <d v="2024-08-06T00:00:00"/>
    <n v="12"/>
    <x v="4"/>
    <n v="1"/>
    <s v="Dr. Rao"/>
    <n v="12612"/>
    <x v="0"/>
    <x v="0"/>
    <x v="0"/>
    <d v="2024-05-25T00:00:00"/>
    <d v="2024-05-25T10:00:00"/>
    <x v="4"/>
    <x v="0"/>
    <s v="Night"/>
    <n v="5"/>
    <n v="10"/>
    <s v="Plan B"/>
  </r>
  <r>
    <s v="PAT5117"/>
    <n v="72"/>
    <x v="2"/>
    <x v="1"/>
    <d v="2023-02-07T00:00:00"/>
    <d v="2023-09-07T00:00:00"/>
    <n v="7"/>
    <x v="4"/>
    <n v="1"/>
    <s v="Dr. Mehta"/>
    <n v="37069"/>
    <x v="1"/>
    <x v="0"/>
    <x v="0"/>
    <d v="2023-06-27T00:00:00"/>
    <d v="2023-06-27T05:00:00"/>
    <x v="3"/>
    <x v="0"/>
    <s v="Night"/>
    <n v="7"/>
    <n v="10"/>
    <s v="Plan B"/>
  </r>
  <r>
    <s v="PAT5118"/>
    <n v="12"/>
    <x v="1"/>
    <x v="4"/>
    <d v="2024-03-06T00:00:00"/>
    <d v="2024-12-06T00:00:00"/>
    <n v="9"/>
    <x v="5"/>
    <n v="1"/>
    <s v="Dr. Patel"/>
    <n v="21205"/>
    <x v="4"/>
    <x v="0"/>
    <x v="1"/>
    <d v="2024-02-06T00:00:00"/>
    <d v="2024-02-06T11:00:00"/>
    <x v="1"/>
    <x v="0"/>
    <s v="Night"/>
    <n v="4"/>
    <n v="8"/>
    <s v="Plan C"/>
  </r>
  <r>
    <s v="PAT5119"/>
    <n v="34"/>
    <x v="3"/>
    <x v="5"/>
    <d v="2023-04-19T00:00:00"/>
    <d v="2023-04-21T00:00:00"/>
    <n v="2"/>
    <x v="1"/>
    <n v="4"/>
    <s v="Dr. Patel"/>
    <n v="32331"/>
    <x v="1"/>
    <x v="0"/>
    <x v="0"/>
    <d v="2023-04-17T00:00:00"/>
    <d v="2023-04-18T04:00:00"/>
    <x v="2"/>
    <x v="0"/>
    <s v="Night"/>
    <n v="10"/>
    <n v="12"/>
    <s v="Plan A"/>
  </r>
  <r>
    <s v="PAT5120"/>
    <n v="33"/>
    <x v="3"/>
    <x v="2"/>
    <d v="2023-02-11T00:00:00"/>
    <d v="2023-11-14T00:00:00"/>
    <n v="12"/>
    <x v="1"/>
    <n v="2"/>
    <s v="Dr. Sharma"/>
    <n v="18934"/>
    <x v="2"/>
    <x v="0"/>
    <x v="0"/>
    <d v="2023-10-29T00:00:00"/>
    <d v="2023-10-29T18:00:00"/>
    <x v="3"/>
    <x v="0"/>
    <s v="Night"/>
    <n v="4"/>
    <n v="12"/>
    <s v="Plan B"/>
  </r>
  <r>
    <s v="PAT5121"/>
    <n v="48"/>
    <x v="4"/>
    <x v="0"/>
    <d v="2024-03-06T00:00:00"/>
    <d v="2024-05-06T00:00:00"/>
    <n v="2"/>
    <x v="0"/>
    <n v="5"/>
    <s v="Dr. Gupta"/>
    <n v="15095"/>
    <x v="0"/>
    <x v="0"/>
    <x v="0"/>
    <d v="2024-01-06T00:00:00"/>
    <d v="2024-02-06T03:00:00"/>
    <x v="0"/>
    <x v="0"/>
    <s v="Night"/>
    <n v="4"/>
    <n v="12"/>
    <s v="Plan B"/>
  </r>
  <r>
    <s v="PAT5122"/>
    <n v="23"/>
    <x v="3"/>
    <x v="1"/>
    <d v="2023-07-23T00:00:00"/>
    <d v="2023-07-31T00:00:00"/>
    <n v="8"/>
    <x v="5"/>
    <n v="4"/>
    <s v="Dr. Mehta"/>
    <n v="30958"/>
    <x v="4"/>
    <x v="1"/>
    <x v="1"/>
    <d v="2023-07-23T00:00:00"/>
    <d v="2023-07-23T20:00:00"/>
    <x v="2"/>
    <x v="0"/>
    <s v="Afternoon"/>
    <n v="9"/>
    <n v="8"/>
    <s v="Plan C"/>
  </r>
  <r>
    <s v="PAT5123"/>
    <n v="62"/>
    <x v="0"/>
    <x v="3"/>
    <d v="2023-06-06T00:00:00"/>
    <d v="2023-06-14T00:00:00"/>
    <n v="8"/>
    <x v="5"/>
    <n v="2"/>
    <s v="Dr. Rao"/>
    <n v="42008"/>
    <x v="0"/>
    <x v="1"/>
    <x v="0"/>
    <d v="2023-04-06T00:00:00"/>
    <d v="2023-05-06T07:00:00"/>
    <x v="2"/>
    <x v="0"/>
    <s v="Afternoon"/>
    <n v="10"/>
    <n v="8"/>
    <s v="Plan C"/>
  </r>
  <r>
    <s v="PAT5124"/>
    <n v="88"/>
    <x v="2"/>
    <x v="3"/>
    <d v="2024-01-18T00:00:00"/>
    <d v="2024-01-31T00:00:00"/>
    <n v="13"/>
    <x v="5"/>
    <n v="2"/>
    <s v="Dr. Patel"/>
    <n v="23706"/>
    <x v="0"/>
    <x v="0"/>
    <x v="0"/>
    <d v="2024-01-17T00:00:00"/>
    <d v="2024-01-17T05:00:00"/>
    <x v="1"/>
    <x v="0"/>
    <s v="Morning"/>
    <n v="6"/>
    <n v="10"/>
    <s v="Plan A"/>
  </r>
  <r>
    <s v="PAT5125"/>
    <n v="37"/>
    <x v="4"/>
    <x v="2"/>
    <d v="2023-06-15T00:00:00"/>
    <d v="2023-06-21T00:00:00"/>
    <n v="6"/>
    <x v="0"/>
    <n v="4"/>
    <s v="Dr. Patel"/>
    <n v="48516"/>
    <x v="3"/>
    <x v="0"/>
    <x v="0"/>
    <d v="2023-10-06T00:00:00"/>
    <d v="2023-11-06T00:00:00"/>
    <x v="1"/>
    <x v="0"/>
    <s v="Afternoon"/>
    <n v="7"/>
    <n v="12"/>
    <s v="Plan A"/>
  </r>
  <r>
    <s v="PAT5126"/>
    <n v="44"/>
    <x v="4"/>
    <x v="3"/>
    <d v="2023-01-01T00:00:00"/>
    <d v="2023-10-01T00:00:00"/>
    <n v="9"/>
    <x v="1"/>
    <n v="4"/>
    <s v="Dr. Mehta"/>
    <n v="43066"/>
    <x v="2"/>
    <x v="1"/>
    <x v="0"/>
    <d v="2022-12-28T00:00:00"/>
    <d v="2022-12-28T17:00:00"/>
    <x v="4"/>
    <x v="0"/>
    <s v="Night"/>
    <n v="10"/>
    <n v="8"/>
    <s v="Plan C"/>
  </r>
  <r>
    <s v="PAT5127"/>
    <n v="86"/>
    <x v="2"/>
    <x v="5"/>
    <d v="2023-11-28T00:00:00"/>
    <d v="2023-08-12T00:00:00"/>
    <n v="10"/>
    <x v="5"/>
    <n v="2"/>
    <s v="Dr. Gupta"/>
    <n v="36472"/>
    <x v="0"/>
    <x v="1"/>
    <x v="0"/>
    <d v="2023-11-26T00:00:00"/>
    <d v="2023-11-26T16:00:00"/>
    <x v="4"/>
    <x v="1"/>
    <s v="Afternoon"/>
    <n v="4"/>
    <n v="12"/>
    <s v="Plan B"/>
  </r>
  <r>
    <s v="PAT5128"/>
    <n v="35"/>
    <x v="3"/>
    <x v="3"/>
    <d v="2024-05-15T00:00:00"/>
    <d v="2024-05-17T00:00:00"/>
    <n v="2"/>
    <x v="3"/>
    <n v="2"/>
    <s v="Dr. Patel"/>
    <n v="39629"/>
    <x v="1"/>
    <x v="1"/>
    <x v="0"/>
    <d v="2024-05-14T00:00:00"/>
    <d v="2024-05-15T23:00:00"/>
    <x v="0"/>
    <x v="0"/>
    <s v="Morning"/>
    <n v="10"/>
    <n v="8"/>
    <s v="Plan B"/>
  </r>
  <r>
    <s v="PAT5129"/>
    <n v="65"/>
    <x v="0"/>
    <x v="0"/>
    <d v="2023-01-20T00:00:00"/>
    <d v="2023-01-28T00:00:00"/>
    <n v="8"/>
    <x v="4"/>
    <n v="2"/>
    <s v="Dr. Mehta"/>
    <n v="28004"/>
    <x v="1"/>
    <x v="1"/>
    <x v="0"/>
    <d v="2023-01-15T00:00:00"/>
    <d v="2023-01-16T17:00:00"/>
    <x v="2"/>
    <x v="0"/>
    <s v="Night"/>
    <n v="6"/>
    <n v="10"/>
    <s v="Plan B"/>
  </r>
  <r>
    <s v="PAT5130"/>
    <n v="47"/>
    <x v="4"/>
    <x v="0"/>
    <d v="2023-04-25T00:00:00"/>
    <d v="2023-04-05T00:00:00"/>
    <n v="9"/>
    <x v="4"/>
    <n v="4"/>
    <s v="Dr. Sharma"/>
    <n v="25431"/>
    <x v="3"/>
    <x v="0"/>
    <x v="0"/>
    <d v="2023-04-23T00:00:00"/>
    <d v="2023-04-24T08:00:00"/>
    <x v="0"/>
    <x v="0"/>
    <s v="Afternoon"/>
    <n v="8"/>
    <n v="12"/>
    <s v="Plan A"/>
  </r>
  <r>
    <s v="PAT5131"/>
    <n v="78"/>
    <x v="2"/>
    <x v="1"/>
    <d v="2024-07-01T00:00:00"/>
    <d v="2024-11-01T00:00:00"/>
    <n v="4"/>
    <x v="2"/>
    <n v="2"/>
    <s v="Dr. Gupta"/>
    <n v="45088"/>
    <x v="2"/>
    <x v="0"/>
    <x v="1"/>
    <d v="2024-03-01T00:00:00"/>
    <d v="2024-04-01T15:00:00"/>
    <x v="0"/>
    <x v="1"/>
    <s v="Afternoon"/>
    <n v="5"/>
    <n v="8"/>
    <s v="Plan B"/>
  </r>
  <r>
    <s v="PAT5132"/>
    <n v="3"/>
    <x v="1"/>
    <x v="4"/>
    <d v="2023-11-11T00:00:00"/>
    <d v="2023-11-21T00:00:00"/>
    <n v="10"/>
    <x v="2"/>
    <n v="1"/>
    <s v="Dr. Rao"/>
    <n v="49135"/>
    <x v="2"/>
    <x v="1"/>
    <x v="0"/>
    <d v="2023-07-11T00:00:00"/>
    <d v="2023-08-11T16:00:00"/>
    <x v="1"/>
    <x v="0"/>
    <s v="Morning"/>
    <n v="7"/>
    <n v="12"/>
    <s v="Plan B"/>
  </r>
  <r>
    <s v="PAT5133"/>
    <n v="1"/>
    <x v="1"/>
    <x v="5"/>
    <d v="2023-03-09T00:00:00"/>
    <d v="2023-04-09T00:00:00"/>
    <n v="1"/>
    <x v="0"/>
    <n v="4"/>
    <s v="Dr. Patel"/>
    <n v="43015"/>
    <x v="1"/>
    <x v="0"/>
    <x v="1"/>
    <d v="2023-03-09T00:00:00"/>
    <d v="2023-03-09T13:00:00"/>
    <x v="0"/>
    <x v="0"/>
    <s v="Night"/>
    <n v="7"/>
    <n v="8"/>
    <s v="Plan C"/>
  </r>
  <r>
    <s v="PAT5134"/>
    <n v="5"/>
    <x v="1"/>
    <x v="1"/>
    <d v="2023-01-03T00:00:00"/>
    <d v="2023-03-13T00:00:00"/>
    <n v="12"/>
    <x v="0"/>
    <n v="1"/>
    <s v="Dr. Mehta"/>
    <n v="39502"/>
    <x v="4"/>
    <x v="1"/>
    <x v="0"/>
    <d v="2023-02-25T00:00:00"/>
    <d v="2023-02-26T06:00:00"/>
    <x v="0"/>
    <x v="0"/>
    <s v="Morning"/>
    <n v="9"/>
    <n v="8"/>
    <s v="Plan B"/>
  </r>
  <r>
    <s v="PAT5135"/>
    <n v="14"/>
    <x v="1"/>
    <x v="5"/>
    <d v="2023-04-09T00:00:00"/>
    <d v="2023-09-17T00:00:00"/>
    <n v="13"/>
    <x v="4"/>
    <n v="3"/>
    <s v="Dr. Sharma"/>
    <n v="36385"/>
    <x v="3"/>
    <x v="0"/>
    <x v="0"/>
    <d v="2023-08-30T00:00:00"/>
    <d v="2023-08-30T07:00:00"/>
    <x v="3"/>
    <x v="0"/>
    <s v="Night"/>
    <n v="8"/>
    <n v="8"/>
    <s v="Plan C"/>
  </r>
  <r>
    <s v="PAT5136"/>
    <n v="27"/>
    <x v="3"/>
    <x v="4"/>
    <d v="2023-03-22T00:00:00"/>
    <d v="2023-06-04T00:00:00"/>
    <n v="15"/>
    <x v="3"/>
    <n v="4"/>
    <s v="Dr. Rao"/>
    <n v="9663"/>
    <x v="3"/>
    <x v="1"/>
    <x v="0"/>
    <d v="2023-03-21T00:00:00"/>
    <d v="2023-03-21T09:00:00"/>
    <x v="4"/>
    <x v="0"/>
    <s v="Night"/>
    <n v="7"/>
    <n v="12"/>
    <s v="Plan B"/>
  </r>
  <r>
    <s v="PAT5137"/>
    <n v="9"/>
    <x v="1"/>
    <x v="3"/>
    <d v="2023-03-29T00:00:00"/>
    <d v="2023-12-04T00:00:00"/>
    <n v="14"/>
    <x v="1"/>
    <n v="3"/>
    <s v="Dr. Mehta"/>
    <n v="43677"/>
    <x v="1"/>
    <x v="0"/>
    <x v="0"/>
    <d v="2023-03-25T00:00:00"/>
    <d v="2023-03-25T20:00:00"/>
    <x v="4"/>
    <x v="0"/>
    <s v="Afternoon"/>
    <n v="9"/>
    <n v="8"/>
    <s v="Plan A"/>
  </r>
  <r>
    <s v="PAT5138"/>
    <n v="79"/>
    <x v="2"/>
    <x v="3"/>
    <d v="2024-12-05T00:00:00"/>
    <d v="2024-05-23T00:00:00"/>
    <n v="11"/>
    <x v="1"/>
    <n v="2"/>
    <s v="Dr. Mehta"/>
    <n v="17818"/>
    <x v="1"/>
    <x v="1"/>
    <x v="0"/>
    <d v="2024-08-05T00:00:00"/>
    <d v="2024-08-05T01:00:00"/>
    <x v="2"/>
    <x v="0"/>
    <s v="Morning"/>
    <n v="9"/>
    <n v="10"/>
    <s v="Plan B"/>
  </r>
  <r>
    <s v="PAT5139"/>
    <n v="15"/>
    <x v="1"/>
    <x v="4"/>
    <d v="2023-12-03T00:00:00"/>
    <d v="2023-03-21T00:00:00"/>
    <n v="9"/>
    <x v="0"/>
    <n v="2"/>
    <s v="Dr. Rao"/>
    <n v="27686"/>
    <x v="4"/>
    <x v="1"/>
    <x v="1"/>
    <d v="2023-11-03T00:00:00"/>
    <d v="2023-12-03T02:00:00"/>
    <x v="4"/>
    <x v="0"/>
    <s v="Morning"/>
    <n v="9"/>
    <n v="12"/>
    <s v="Plan B"/>
  </r>
  <r>
    <s v="PAT5140"/>
    <n v="42"/>
    <x v="4"/>
    <x v="1"/>
    <d v="2023-09-05T00:00:00"/>
    <d v="2023-05-14T00:00:00"/>
    <n v="5"/>
    <x v="3"/>
    <n v="5"/>
    <s v="Dr. Sharma"/>
    <n v="28977"/>
    <x v="4"/>
    <x v="1"/>
    <x v="0"/>
    <d v="2023-08-05T00:00:00"/>
    <d v="2023-08-05T22:00:00"/>
    <x v="2"/>
    <x v="0"/>
    <s v="Morning"/>
    <n v="11"/>
    <n v="10"/>
    <s v="Plan C"/>
  </r>
  <r>
    <s v="PAT5141"/>
    <n v="77"/>
    <x v="2"/>
    <x v="4"/>
    <d v="2023-12-05T00:00:00"/>
    <d v="2023-05-20T00:00:00"/>
    <n v="8"/>
    <x v="0"/>
    <n v="2"/>
    <s v="Dr. Sharma"/>
    <n v="45931"/>
    <x v="2"/>
    <x v="1"/>
    <x v="0"/>
    <d v="2023-07-05T00:00:00"/>
    <d v="2023-08-05T16:00:00"/>
    <x v="3"/>
    <x v="0"/>
    <s v="Night"/>
    <n v="7"/>
    <n v="10"/>
    <s v="Plan C"/>
  </r>
  <r>
    <s v="PAT5142"/>
    <n v="51"/>
    <x v="0"/>
    <x v="2"/>
    <d v="2024-01-05T00:00:00"/>
    <d v="2024-12-05T00:00:00"/>
    <n v="11"/>
    <x v="1"/>
    <n v="3"/>
    <s v="Dr. Gupta"/>
    <n v="23454"/>
    <x v="3"/>
    <x v="1"/>
    <x v="1"/>
    <d v="2024-04-27T00:00:00"/>
    <d v="2024-04-28T01:00:00"/>
    <x v="4"/>
    <x v="0"/>
    <s v="Morning"/>
    <n v="7"/>
    <n v="12"/>
    <s v="Plan C"/>
  </r>
  <r>
    <s v="PAT5143"/>
    <n v="63"/>
    <x v="0"/>
    <x v="0"/>
    <d v="2023-06-19T00:00:00"/>
    <d v="2023-06-20T00:00:00"/>
    <n v="1"/>
    <x v="0"/>
    <n v="2"/>
    <s v="Dr. Patel"/>
    <n v="18358"/>
    <x v="3"/>
    <x v="1"/>
    <x v="1"/>
    <d v="2023-06-14T00:00:00"/>
    <d v="2023-06-14T22:00:00"/>
    <x v="3"/>
    <x v="0"/>
    <s v="Night"/>
    <n v="7"/>
    <n v="8"/>
    <s v="Plan B"/>
  </r>
  <r>
    <s v="PAT5144"/>
    <n v="52"/>
    <x v="0"/>
    <x v="1"/>
    <d v="2023-09-29T00:00:00"/>
    <d v="2023-09-30T00:00:00"/>
    <n v="1"/>
    <x v="5"/>
    <n v="4"/>
    <s v="Dr. Rao"/>
    <n v="11668"/>
    <x v="1"/>
    <x v="1"/>
    <x v="0"/>
    <d v="2023-09-25T00:00:00"/>
    <d v="2023-09-26T05:00:00"/>
    <x v="4"/>
    <x v="0"/>
    <s v="Morning"/>
    <n v="6"/>
    <n v="10"/>
    <s v="Plan B"/>
  </r>
  <r>
    <s v="PAT5145"/>
    <n v="4"/>
    <x v="1"/>
    <x v="5"/>
    <d v="2024-06-24T00:00:00"/>
    <d v="2024-02-07T00:00:00"/>
    <n v="8"/>
    <x v="0"/>
    <n v="2"/>
    <s v="Dr. Rao"/>
    <n v="45769"/>
    <x v="2"/>
    <x v="0"/>
    <x v="0"/>
    <d v="2024-06-22T00:00:00"/>
    <d v="2024-06-22T22:00:00"/>
    <x v="4"/>
    <x v="0"/>
    <s v="Morning"/>
    <n v="9"/>
    <n v="12"/>
    <s v="Plan A"/>
  </r>
  <r>
    <s v="PAT5146"/>
    <n v="23"/>
    <x v="3"/>
    <x v="2"/>
    <d v="2024-09-03T00:00:00"/>
    <d v="2024-03-23T00:00:00"/>
    <n v="14"/>
    <x v="4"/>
    <n v="5"/>
    <s v="Dr. Rao"/>
    <n v="14921"/>
    <x v="3"/>
    <x v="0"/>
    <x v="0"/>
    <d v="2024-05-03T00:00:00"/>
    <d v="2024-06-03T04:00:00"/>
    <x v="3"/>
    <x v="0"/>
    <s v="Afternoon"/>
    <n v="6"/>
    <n v="8"/>
    <s v="Plan B"/>
  </r>
  <r>
    <s v="PAT5147"/>
    <n v="15"/>
    <x v="1"/>
    <x v="1"/>
    <d v="2023-05-08T00:00:00"/>
    <d v="2023-12-08T00:00:00"/>
    <n v="7"/>
    <x v="0"/>
    <n v="2"/>
    <s v="Dr. Sharma"/>
    <n v="39959"/>
    <x v="2"/>
    <x v="0"/>
    <x v="0"/>
    <d v="2023-05-08T00:00:00"/>
    <d v="2023-06-08T18:00:00"/>
    <x v="0"/>
    <x v="0"/>
    <s v="Morning"/>
    <n v="5"/>
    <n v="12"/>
    <s v="Plan A"/>
  </r>
  <r>
    <s v="PAT5148"/>
    <n v="43"/>
    <x v="4"/>
    <x v="4"/>
    <d v="2023-07-25T00:00:00"/>
    <d v="2023-01-08T00:00:00"/>
    <n v="7"/>
    <x v="4"/>
    <n v="3"/>
    <s v="Dr. Patel"/>
    <n v="37328"/>
    <x v="2"/>
    <x v="0"/>
    <x v="1"/>
    <d v="2023-07-25T00:00:00"/>
    <d v="2023-07-26T15:00:00"/>
    <x v="0"/>
    <x v="0"/>
    <s v="Afternoon"/>
    <n v="7"/>
    <n v="12"/>
    <s v="Plan C"/>
  </r>
  <r>
    <s v="PAT5149"/>
    <n v="29"/>
    <x v="3"/>
    <x v="4"/>
    <d v="2023-11-16T00:00:00"/>
    <d v="2023-11-27T00:00:00"/>
    <n v="11"/>
    <x v="3"/>
    <n v="3"/>
    <s v="Dr. Gupta"/>
    <n v="13859"/>
    <x v="1"/>
    <x v="1"/>
    <x v="0"/>
    <d v="2023-11-16T00:00:00"/>
    <d v="2023-11-16T09:00:00"/>
    <x v="0"/>
    <x v="0"/>
    <s v="Afternoon"/>
    <n v="11"/>
    <n v="12"/>
    <s v="Plan C"/>
  </r>
  <r>
    <s v="PAT5150"/>
    <n v="36"/>
    <x v="4"/>
    <x v="4"/>
    <d v="2024-02-13T00:00:00"/>
    <d v="2024-02-15T00:00:00"/>
    <n v="2"/>
    <x v="1"/>
    <n v="2"/>
    <s v="Dr. Mehta"/>
    <n v="28970"/>
    <x v="2"/>
    <x v="1"/>
    <x v="0"/>
    <d v="2024-02-13T00:00:00"/>
    <d v="2024-02-13T20:00:00"/>
    <x v="0"/>
    <x v="0"/>
    <s v="Night"/>
    <n v="10"/>
    <n v="8"/>
    <s v="Plan C"/>
  </r>
  <r>
    <s v="PAT5151"/>
    <n v="13"/>
    <x v="1"/>
    <x v="4"/>
    <d v="2024-01-18T00:00:00"/>
    <d v="2024-01-26T00:00:00"/>
    <n v="8"/>
    <x v="2"/>
    <n v="3"/>
    <s v="Dr. Mehta"/>
    <n v="13872"/>
    <x v="4"/>
    <x v="1"/>
    <x v="0"/>
    <d v="2024-01-13T00:00:00"/>
    <d v="2024-01-13T21:00:00"/>
    <x v="4"/>
    <x v="0"/>
    <s v="Morning"/>
    <n v="8"/>
    <n v="10"/>
    <s v="Plan A"/>
  </r>
  <r>
    <s v="PAT5152"/>
    <n v="32"/>
    <x v="3"/>
    <x v="5"/>
    <d v="2024-03-24T00:00:00"/>
    <d v="2024-05-04T00:00:00"/>
    <n v="12"/>
    <x v="2"/>
    <n v="3"/>
    <s v="Dr. Rao"/>
    <n v="24230"/>
    <x v="4"/>
    <x v="0"/>
    <x v="0"/>
    <d v="2024-03-20T00:00:00"/>
    <d v="2024-03-21T15:00:00"/>
    <x v="1"/>
    <x v="0"/>
    <s v="Morning"/>
    <n v="11"/>
    <n v="10"/>
    <s v="Plan B"/>
  </r>
  <r>
    <s v="PAT5153"/>
    <n v="71"/>
    <x v="2"/>
    <x v="2"/>
    <d v="2024-06-13T00:00:00"/>
    <d v="2024-06-28T00:00:00"/>
    <n v="15"/>
    <x v="1"/>
    <n v="5"/>
    <s v="Dr. Patel"/>
    <n v="31708"/>
    <x v="0"/>
    <x v="0"/>
    <x v="0"/>
    <d v="2024-11-06T00:00:00"/>
    <d v="2024-12-06T21:00:00"/>
    <x v="3"/>
    <x v="1"/>
    <s v="Morning"/>
    <n v="4"/>
    <n v="12"/>
    <s v="Plan C"/>
  </r>
  <r>
    <s v="PAT5154"/>
    <n v="59"/>
    <x v="0"/>
    <x v="3"/>
    <d v="2024-07-04T00:00:00"/>
    <d v="2024-04-15T00:00:00"/>
    <n v="8"/>
    <x v="2"/>
    <n v="4"/>
    <s v="Dr. Sharma"/>
    <n v="23847"/>
    <x v="1"/>
    <x v="1"/>
    <x v="0"/>
    <d v="2024-02-04T00:00:00"/>
    <d v="2024-02-04T13:00:00"/>
    <x v="1"/>
    <x v="0"/>
    <s v="Afternoon"/>
    <n v="5"/>
    <n v="12"/>
    <s v="Plan B"/>
  </r>
  <r>
    <s v="PAT5155"/>
    <n v="86"/>
    <x v="2"/>
    <x v="0"/>
    <d v="2023-04-05T00:00:00"/>
    <d v="2023-06-05T00:00:00"/>
    <n v="2"/>
    <x v="0"/>
    <n v="5"/>
    <s v="Dr. Patel"/>
    <n v="32105"/>
    <x v="0"/>
    <x v="1"/>
    <x v="0"/>
    <d v="2023-03-05T00:00:00"/>
    <d v="2023-04-05T07:00:00"/>
    <x v="1"/>
    <x v="0"/>
    <s v="Morning"/>
    <n v="10"/>
    <n v="8"/>
    <s v="Plan B"/>
  </r>
  <r>
    <s v="PAT5156"/>
    <n v="28"/>
    <x v="3"/>
    <x v="5"/>
    <d v="2023-11-09T00:00:00"/>
    <d v="2023-09-26T00:00:00"/>
    <n v="15"/>
    <x v="3"/>
    <n v="1"/>
    <s v="Dr. Patel"/>
    <n v="9922"/>
    <x v="4"/>
    <x v="1"/>
    <x v="1"/>
    <d v="2023-07-09T00:00:00"/>
    <d v="2023-07-09T21:00:00"/>
    <x v="2"/>
    <x v="0"/>
    <s v="Night"/>
    <n v="4"/>
    <n v="12"/>
    <s v="Plan C"/>
  </r>
  <r>
    <s v="PAT5157"/>
    <n v="66"/>
    <x v="2"/>
    <x v="5"/>
    <d v="2023-08-19T00:00:00"/>
    <d v="2023-08-21T00:00:00"/>
    <n v="2"/>
    <x v="3"/>
    <n v="5"/>
    <s v="Dr. Sharma"/>
    <n v="9392"/>
    <x v="0"/>
    <x v="0"/>
    <x v="0"/>
    <d v="2023-08-16T00:00:00"/>
    <d v="2023-08-16T12:00:00"/>
    <x v="0"/>
    <x v="0"/>
    <s v="Night"/>
    <n v="4"/>
    <n v="12"/>
    <s v="Plan A"/>
  </r>
  <r>
    <s v="PAT5158"/>
    <n v="42"/>
    <x v="4"/>
    <x v="3"/>
    <d v="2023-07-03T00:00:00"/>
    <d v="2023-03-13T00:00:00"/>
    <n v="6"/>
    <x v="1"/>
    <n v="2"/>
    <s v="Dr. Rao"/>
    <n v="18541"/>
    <x v="1"/>
    <x v="1"/>
    <x v="0"/>
    <d v="2023-03-03T00:00:00"/>
    <d v="2023-04-03T02:00:00"/>
    <x v="4"/>
    <x v="0"/>
    <s v="Morning"/>
    <n v="7"/>
    <n v="12"/>
    <s v="Plan B"/>
  </r>
  <r>
    <s v="PAT5159"/>
    <n v="45"/>
    <x v="4"/>
    <x v="3"/>
    <d v="2023-12-13T00:00:00"/>
    <d v="2023-12-23T00:00:00"/>
    <n v="10"/>
    <x v="2"/>
    <n v="4"/>
    <s v="Dr. Patel"/>
    <n v="24551"/>
    <x v="1"/>
    <x v="1"/>
    <x v="0"/>
    <d v="2023-08-12T00:00:00"/>
    <d v="2023-08-12T21:00:00"/>
    <x v="0"/>
    <x v="0"/>
    <s v="Afternoon"/>
    <n v="8"/>
    <n v="10"/>
    <s v="Plan C"/>
  </r>
  <r>
    <s v="PAT5160"/>
    <n v="62"/>
    <x v="0"/>
    <x v="0"/>
    <d v="2023-01-22T00:00:00"/>
    <d v="2023-01-25T00:00:00"/>
    <n v="3"/>
    <x v="0"/>
    <n v="2"/>
    <s v="Dr. Mehta"/>
    <n v="24381"/>
    <x v="2"/>
    <x v="1"/>
    <x v="1"/>
    <d v="2023-01-22T00:00:00"/>
    <d v="2023-01-22T19:00:00"/>
    <x v="0"/>
    <x v="0"/>
    <s v="Night"/>
    <n v="4"/>
    <n v="12"/>
    <s v="Plan B"/>
  </r>
  <r>
    <s v="PAT5161"/>
    <n v="57"/>
    <x v="0"/>
    <x v="0"/>
    <d v="2023-08-24T00:00:00"/>
    <d v="2023-08-26T00:00:00"/>
    <n v="2"/>
    <x v="3"/>
    <n v="1"/>
    <s v="Dr. Sharma"/>
    <n v="40995"/>
    <x v="3"/>
    <x v="0"/>
    <x v="0"/>
    <d v="2023-08-21T00:00:00"/>
    <d v="2023-08-23T00:00:00"/>
    <x v="1"/>
    <x v="0"/>
    <s v="Night"/>
    <n v="9"/>
    <n v="10"/>
    <s v="Plan B"/>
  </r>
  <r>
    <s v="PAT5162"/>
    <n v="6"/>
    <x v="1"/>
    <x v="3"/>
    <d v="2023-08-14T00:00:00"/>
    <d v="2023-08-17T00:00:00"/>
    <n v="3"/>
    <x v="3"/>
    <n v="4"/>
    <s v="Dr. Gupta"/>
    <n v="27948"/>
    <x v="2"/>
    <x v="0"/>
    <x v="1"/>
    <d v="2023-09-08T00:00:00"/>
    <d v="2023-10-08T21:00:00"/>
    <x v="2"/>
    <x v="0"/>
    <s v="Afternoon"/>
    <n v="10"/>
    <n v="8"/>
    <s v="Plan B"/>
  </r>
  <r>
    <s v="PAT5163"/>
    <n v="28"/>
    <x v="3"/>
    <x v="4"/>
    <d v="2023-08-01T00:00:00"/>
    <d v="2023-01-13T00:00:00"/>
    <n v="5"/>
    <x v="5"/>
    <n v="3"/>
    <s v="Dr. Rao"/>
    <n v="31728"/>
    <x v="1"/>
    <x v="1"/>
    <x v="0"/>
    <d v="2023-04-01T00:00:00"/>
    <d v="2023-05-01T17:00:00"/>
    <x v="0"/>
    <x v="0"/>
    <s v="Night"/>
    <n v="11"/>
    <n v="8"/>
    <s v="Plan B"/>
  </r>
  <r>
    <s v="PAT5164"/>
    <n v="28"/>
    <x v="3"/>
    <x v="5"/>
    <d v="2023-03-14T00:00:00"/>
    <d v="2023-03-24T00:00:00"/>
    <n v="10"/>
    <x v="5"/>
    <n v="5"/>
    <s v="Dr. Sharma"/>
    <n v="7024"/>
    <x v="4"/>
    <x v="0"/>
    <x v="0"/>
    <d v="2023-12-03T00:00:00"/>
    <d v="2023-03-13T08:00:00"/>
    <x v="3"/>
    <x v="0"/>
    <s v="Afternoon"/>
    <n v="11"/>
    <n v="10"/>
    <s v="Plan B"/>
  </r>
  <r>
    <s v="PAT5165"/>
    <n v="44"/>
    <x v="4"/>
    <x v="1"/>
    <d v="2023-02-03T00:00:00"/>
    <d v="2023-03-13T00:00:00"/>
    <n v="11"/>
    <x v="3"/>
    <n v="2"/>
    <s v="Dr. Gupta"/>
    <n v="21713"/>
    <x v="4"/>
    <x v="1"/>
    <x v="0"/>
    <d v="2023-02-25T00:00:00"/>
    <d v="2023-02-26T13:00:00"/>
    <x v="3"/>
    <x v="0"/>
    <s v="Night"/>
    <n v="4"/>
    <n v="10"/>
    <s v="Plan A"/>
  </r>
  <r>
    <s v="PAT5166"/>
    <n v="84"/>
    <x v="2"/>
    <x v="0"/>
    <d v="2023-08-23T00:00:00"/>
    <d v="2023-02-09T00:00:00"/>
    <n v="10"/>
    <x v="1"/>
    <n v="1"/>
    <s v="Dr. Gupta"/>
    <n v="7486"/>
    <x v="2"/>
    <x v="0"/>
    <x v="1"/>
    <d v="2023-08-21T00:00:00"/>
    <d v="2023-08-21T16:00:00"/>
    <x v="0"/>
    <x v="0"/>
    <s v="Afternoon"/>
    <n v="5"/>
    <n v="10"/>
    <s v="Plan A"/>
  </r>
  <r>
    <s v="PAT5167"/>
    <n v="30"/>
    <x v="3"/>
    <x v="0"/>
    <d v="2023-11-03T00:00:00"/>
    <d v="2023-03-20T00:00:00"/>
    <n v="9"/>
    <x v="4"/>
    <n v="3"/>
    <s v="Dr. Patel"/>
    <n v="6155"/>
    <x v="1"/>
    <x v="0"/>
    <x v="0"/>
    <d v="2023-08-03T00:00:00"/>
    <d v="2023-08-03T21:00:00"/>
    <x v="1"/>
    <x v="0"/>
    <s v="Night"/>
    <n v="8"/>
    <n v="10"/>
    <s v="Plan C"/>
  </r>
  <r>
    <s v="PAT5168"/>
    <n v="62"/>
    <x v="0"/>
    <x v="3"/>
    <d v="2023-02-02T00:00:00"/>
    <d v="2023-02-14T00:00:00"/>
    <n v="12"/>
    <x v="4"/>
    <n v="5"/>
    <s v="Dr. Patel"/>
    <n v="15082"/>
    <x v="4"/>
    <x v="1"/>
    <x v="0"/>
    <d v="2023-01-02T00:00:00"/>
    <d v="2023-02-02T01:00:00"/>
    <x v="1"/>
    <x v="0"/>
    <s v="Morning"/>
    <n v="8"/>
    <n v="12"/>
    <s v="Plan A"/>
  </r>
  <r>
    <s v="PAT5169"/>
    <n v="75"/>
    <x v="2"/>
    <x v="2"/>
    <d v="2023-05-12T00:00:00"/>
    <d v="2023-11-12T00:00:00"/>
    <n v="6"/>
    <x v="0"/>
    <n v="3"/>
    <s v="Dr. Patel"/>
    <n v="42245"/>
    <x v="1"/>
    <x v="1"/>
    <x v="0"/>
    <d v="2023-11-30T00:00:00"/>
    <d v="2023-11-30T18:00:00"/>
    <x v="4"/>
    <x v="0"/>
    <s v="Night"/>
    <n v="11"/>
    <n v="10"/>
    <s v="Plan A"/>
  </r>
  <r>
    <s v="PAT5170"/>
    <n v="89"/>
    <x v="2"/>
    <x v="1"/>
    <d v="2023-03-14T00:00:00"/>
    <d v="2023-03-21T00:00:00"/>
    <n v="7"/>
    <x v="3"/>
    <n v="5"/>
    <s v="Dr. Sharma"/>
    <n v="23569"/>
    <x v="4"/>
    <x v="0"/>
    <x v="0"/>
    <d v="2023-11-03T00:00:00"/>
    <d v="2023-12-03T02:00:00"/>
    <x v="2"/>
    <x v="0"/>
    <s v="Night"/>
    <n v="4"/>
    <n v="10"/>
    <s v="Plan A"/>
  </r>
  <r>
    <s v="PAT5171"/>
    <n v="62"/>
    <x v="0"/>
    <x v="1"/>
    <d v="2024-10-06T00:00:00"/>
    <d v="2024-06-20T00:00:00"/>
    <n v="10"/>
    <x v="3"/>
    <n v="4"/>
    <s v="Dr. Sharma"/>
    <n v="12086"/>
    <x v="1"/>
    <x v="1"/>
    <x v="0"/>
    <d v="2024-08-06T00:00:00"/>
    <d v="2024-09-06T00:00:00"/>
    <x v="1"/>
    <x v="0"/>
    <s v="Morning"/>
    <n v="8"/>
    <n v="10"/>
    <s v="Plan B"/>
  </r>
  <r>
    <s v="PAT5172"/>
    <n v="1"/>
    <x v="1"/>
    <x v="0"/>
    <d v="2023-01-09T00:00:00"/>
    <d v="2023-10-09T00:00:00"/>
    <n v="9"/>
    <x v="3"/>
    <n v="3"/>
    <s v="Dr. Rao"/>
    <n v="7317"/>
    <x v="0"/>
    <x v="0"/>
    <x v="0"/>
    <d v="2023-08-29T00:00:00"/>
    <d v="2023-08-29T08:00:00"/>
    <x v="4"/>
    <x v="1"/>
    <s v="Morning"/>
    <n v="5"/>
    <n v="12"/>
    <s v="Plan B"/>
  </r>
  <r>
    <s v="PAT5173"/>
    <n v="27"/>
    <x v="3"/>
    <x v="4"/>
    <d v="2023-10-13T00:00:00"/>
    <d v="2023-10-18T00:00:00"/>
    <n v="5"/>
    <x v="1"/>
    <n v="3"/>
    <s v="Dr. Patel"/>
    <n v="41389"/>
    <x v="1"/>
    <x v="0"/>
    <x v="1"/>
    <d v="2023-10-13T00:00:00"/>
    <d v="2023-10-14T13:00:00"/>
    <x v="3"/>
    <x v="1"/>
    <s v="Morning"/>
    <n v="11"/>
    <n v="12"/>
    <s v="Plan C"/>
  </r>
  <r>
    <s v="PAT5174"/>
    <n v="62"/>
    <x v="0"/>
    <x v="2"/>
    <d v="2024-12-05T00:00:00"/>
    <d v="2024-05-20T00:00:00"/>
    <n v="8"/>
    <x v="5"/>
    <n v="3"/>
    <s v="Dr. Gupta"/>
    <n v="9491"/>
    <x v="1"/>
    <x v="0"/>
    <x v="1"/>
    <d v="2024-07-05T00:00:00"/>
    <d v="2024-07-05T13:00:00"/>
    <x v="3"/>
    <x v="1"/>
    <s v="Morning"/>
    <n v="10"/>
    <n v="12"/>
    <s v="Plan C"/>
  </r>
  <r>
    <s v="PAT5175"/>
    <n v="77"/>
    <x v="2"/>
    <x v="1"/>
    <d v="2023-08-08T00:00:00"/>
    <d v="2023-08-17T00:00:00"/>
    <n v="9"/>
    <x v="3"/>
    <n v="4"/>
    <s v="Dr. Mehta"/>
    <n v="20916"/>
    <x v="2"/>
    <x v="1"/>
    <x v="0"/>
    <d v="2023-08-08T00:00:00"/>
    <d v="2023-09-08T14:00:00"/>
    <x v="3"/>
    <x v="0"/>
    <s v="Afternoon"/>
    <n v="5"/>
    <n v="8"/>
    <s v="Plan C"/>
  </r>
  <r>
    <s v="PAT5176"/>
    <n v="3"/>
    <x v="1"/>
    <x v="0"/>
    <d v="2023-05-16T00:00:00"/>
    <d v="2023-05-26T00:00:00"/>
    <n v="10"/>
    <x v="3"/>
    <n v="1"/>
    <s v="Dr. Rao"/>
    <n v="20248"/>
    <x v="0"/>
    <x v="1"/>
    <x v="0"/>
    <d v="2023-05-15T00:00:00"/>
    <d v="2023-05-16T11:00:00"/>
    <x v="0"/>
    <x v="0"/>
    <s v="Afternoon"/>
    <n v="5"/>
    <n v="12"/>
    <s v="Plan B"/>
  </r>
  <r>
    <s v="PAT5177"/>
    <n v="70"/>
    <x v="2"/>
    <x v="1"/>
    <d v="2024-04-29T00:00:00"/>
    <d v="2024-06-05T00:00:00"/>
    <n v="7"/>
    <x v="2"/>
    <n v="5"/>
    <s v="Dr. Sharma"/>
    <n v="7511"/>
    <x v="3"/>
    <x v="0"/>
    <x v="0"/>
    <d v="2024-04-26T00:00:00"/>
    <d v="2024-04-26T12:00:00"/>
    <x v="2"/>
    <x v="0"/>
    <s v="Night"/>
    <n v="9"/>
    <n v="10"/>
    <s v="Plan A"/>
  </r>
  <r>
    <s v="PAT5178"/>
    <n v="72"/>
    <x v="2"/>
    <x v="2"/>
    <d v="2023-06-09T00:00:00"/>
    <d v="2023-08-09T00:00:00"/>
    <n v="2"/>
    <x v="1"/>
    <n v="3"/>
    <s v="Dr. Rao"/>
    <n v="29226"/>
    <x v="2"/>
    <x v="1"/>
    <x v="1"/>
    <d v="2023-03-09T00:00:00"/>
    <d v="2023-04-09T20:00:00"/>
    <x v="4"/>
    <x v="0"/>
    <s v="Night"/>
    <n v="7"/>
    <n v="12"/>
    <s v="Plan A"/>
  </r>
  <r>
    <s v="PAT5179"/>
    <n v="27"/>
    <x v="3"/>
    <x v="2"/>
    <d v="2024-04-29T00:00:00"/>
    <d v="2024-12-05T00:00:00"/>
    <n v="13"/>
    <x v="0"/>
    <n v="4"/>
    <s v="Dr. Rao"/>
    <n v="30025"/>
    <x v="3"/>
    <x v="0"/>
    <x v="1"/>
    <d v="2024-04-26T00:00:00"/>
    <d v="2024-04-27T12:00:00"/>
    <x v="2"/>
    <x v="0"/>
    <s v="Night"/>
    <n v="4"/>
    <n v="12"/>
    <s v="Plan B"/>
  </r>
  <r>
    <s v="PAT5180"/>
    <n v="9"/>
    <x v="1"/>
    <x v="5"/>
    <d v="2024-02-21T00:00:00"/>
    <d v="2024-04-03T00:00:00"/>
    <n v="12"/>
    <x v="3"/>
    <n v="1"/>
    <s v="Dr. Rao"/>
    <n v="47314"/>
    <x v="4"/>
    <x v="0"/>
    <x v="0"/>
    <d v="2024-02-18T00:00:00"/>
    <d v="2024-02-18T02:00:00"/>
    <x v="0"/>
    <x v="0"/>
    <s v="Afternoon"/>
    <n v="10"/>
    <n v="10"/>
    <s v="Plan C"/>
  </r>
  <r>
    <s v="PAT5181"/>
    <n v="62"/>
    <x v="0"/>
    <x v="3"/>
    <d v="2023-07-14T00:00:00"/>
    <d v="2023-07-16T00:00:00"/>
    <n v="2"/>
    <x v="2"/>
    <n v="5"/>
    <s v="Dr. Rao"/>
    <n v="12848"/>
    <x v="3"/>
    <x v="1"/>
    <x v="1"/>
    <d v="2023-07-13T00:00:00"/>
    <d v="2023-07-14T23:00:00"/>
    <x v="4"/>
    <x v="1"/>
    <s v="Night"/>
    <n v="11"/>
    <n v="12"/>
    <s v="Plan C"/>
  </r>
  <r>
    <s v="PAT5182"/>
    <n v="37"/>
    <x v="4"/>
    <x v="3"/>
    <d v="2023-07-04T00:00:00"/>
    <d v="2023-04-21T00:00:00"/>
    <n v="14"/>
    <x v="4"/>
    <n v="4"/>
    <s v="Dr. Mehta"/>
    <n v="19274"/>
    <x v="1"/>
    <x v="0"/>
    <x v="0"/>
    <d v="2023-05-04T00:00:00"/>
    <d v="2023-06-04T06:00:00"/>
    <x v="4"/>
    <x v="0"/>
    <s v="Night"/>
    <n v="8"/>
    <n v="8"/>
    <s v="Plan C"/>
  </r>
  <r>
    <s v="PAT5183"/>
    <n v="51"/>
    <x v="0"/>
    <x v="0"/>
    <d v="2023-10-04T00:00:00"/>
    <d v="2023-04-21T00:00:00"/>
    <n v="11"/>
    <x v="0"/>
    <n v="5"/>
    <s v="Dr. Patel"/>
    <n v="35958"/>
    <x v="3"/>
    <x v="1"/>
    <x v="1"/>
    <d v="2023-06-04T00:00:00"/>
    <d v="2023-07-04T22:00:00"/>
    <x v="1"/>
    <x v="1"/>
    <s v="Afternoon"/>
    <n v="5"/>
    <n v="12"/>
    <s v="Plan B"/>
  </r>
  <r>
    <s v="PAT5184"/>
    <n v="44"/>
    <x v="4"/>
    <x v="2"/>
    <d v="2024-03-17T00:00:00"/>
    <d v="2024-03-28T00:00:00"/>
    <n v="11"/>
    <x v="3"/>
    <n v="3"/>
    <s v="Dr. Gupta"/>
    <n v="40233"/>
    <x v="2"/>
    <x v="1"/>
    <x v="0"/>
    <d v="2024-03-16T00:00:00"/>
    <d v="2024-03-16T14:00:00"/>
    <x v="2"/>
    <x v="0"/>
    <s v="Night"/>
    <n v="11"/>
    <n v="8"/>
    <s v="Plan C"/>
  </r>
  <r>
    <s v="PAT5185"/>
    <n v="24"/>
    <x v="3"/>
    <x v="5"/>
    <d v="2023-12-29T00:00:00"/>
    <d v="2024-01-13T00:00:00"/>
    <n v="15"/>
    <x v="3"/>
    <n v="1"/>
    <s v="Dr. Rao"/>
    <n v="21304"/>
    <x v="2"/>
    <x v="0"/>
    <x v="0"/>
    <d v="2023-12-27T00:00:00"/>
    <d v="2023-12-28T05:00:00"/>
    <x v="2"/>
    <x v="0"/>
    <s v="Afternoon"/>
    <n v="4"/>
    <n v="8"/>
    <s v="Plan C"/>
  </r>
  <r>
    <s v="PAT5186"/>
    <n v="79"/>
    <x v="2"/>
    <x v="5"/>
    <d v="2024-09-03T00:00:00"/>
    <d v="2024-03-22T00:00:00"/>
    <n v="13"/>
    <x v="2"/>
    <n v="4"/>
    <s v="Dr. Rao"/>
    <n v="16294"/>
    <x v="3"/>
    <x v="0"/>
    <x v="1"/>
    <d v="2024-04-03T00:00:00"/>
    <d v="2024-04-03T19:00:00"/>
    <x v="1"/>
    <x v="0"/>
    <s v="Afternoon"/>
    <n v="10"/>
    <n v="8"/>
    <s v="Plan B"/>
  </r>
  <r>
    <s v="PAT5187"/>
    <n v="59"/>
    <x v="0"/>
    <x v="1"/>
    <d v="2024-02-25T00:00:00"/>
    <d v="2024-05-03T00:00:00"/>
    <n v="9"/>
    <x v="1"/>
    <n v="1"/>
    <s v="Dr. Rao"/>
    <n v="31425"/>
    <x v="2"/>
    <x v="1"/>
    <x v="0"/>
    <d v="2024-02-23T00:00:00"/>
    <d v="2024-02-24T21:00:00"/>
    <x v="3"/>
    <x v="0"/>
    <s v="Morning"/>
    <n v="10"/>
    <n v="10"/>
    <s v="Plan A"/>
  </r>
  <r>
    <s v="PAT5188"/>
    <n v="32"/>
    <x v="3"/>
    <x v="1"/>
    <d v="2024-04-23T00:00:00"/>
    <d v="2024-05-05T00:00:00"/>
    <n v="12"/>
    <x v="3"/>
    <n v="3"/>
    <s v="Dr. Patel"/>
    <n v="8175"/>
    <x v="2"/>
    <x v="0"/>
    <x v="1"/>
    <d v="2024-04-18T00:00:00"/>
    <d v="2024-04-18T05:00:00"/>
    <x v="0"/>
    <x v="0"/>
    <s v="Morning"/>
    <n v="4"/>
    <n v="12"/>
    <s v="Plan B"/>
  </r>
  <r>
    <s v="PAT5189"/>
    <n v="88"/>
    <x v="2"/>
    <x v="5"/>
    <d v="2023-02-25T00:00:00"/>
    <d v="2023-11-03T00:00:00"/>
    <n v="14"/>
    <x v="4"/>
    <n v="1"/>
    <s v="Dr. Sharma"/>
    <n v="45617"/>
    <x v="3"/>
    <x v="1"/>
    <x v="0"/>
    <d v="2023-02-23T00:00:00"/>
    <d v="2023-02-24T03:00:00"/>
    <x v="2"/>
    <x v="0"/>
    <s v="Afternoon"/>
    <n v="7"/>
    <n v="8"/>
    <s v="Plan B"/>
  </r>
  <r>
    <s v="PAT5190"/>
    <n v="52"/>
    <x v="0"/>
    <x v="1"/>
    <d v="2023-11-04T00:00:00"/>
    <d v="2023-04-15T00:00:00"/>
    <n v="4"/>
    <x v="3"/>
    <n v="1"/>
    <s v="Dr. Sharma"/>
    <n v="32775"/>
    <x v="0"/>
    <x v="1"/>
    <x v="0"/>
    <d v="2023-08-04T00:00:00"/>
    <d v="2023-09-04T20:00:00"/>
    <x v="1"/>
    <x v="0"/>
    <s v="Afternoon"/>
    <n v="9"/>
    <n v="8"/>
    <s v="Plan B"/>
  </r>
  <r>
    <s v="PAT5191"/>
    <n v="62"/>
    <x v="0"/>
    <x v="2"/>
    <d v="2023-04-03T00:00:00"/>
    <d v="2023-11-03T00:00:00"/>
    <n v="7"/>
    <x v="4"/>
    <n v="2"/>
    <s v="Dr. Mehta"/>
    <n v="14425"/>
    <x v="0"/>
    <x v="1"/>
    <x v="0"/>
    <d v="2023-03-03T00:00:00"/>
    <d v="2023-04-03T08:00:00"/>
    <x v="4"/>
    <x v="0"/>
    <s v="Morning"/>
    <n v="8"/>
    <n v="12"/>
    <s v="Plan B"/>
  </r>
  <r>
    <s v="PAT5192"/>
    <n v="58"/>
    <x v="0"/>
    <x v="4"/>
    <d v="2024-02-17T00:00:00"/>
    <d v="2024-02-25T00:00:00"/>
    <n v="8"/>
    <x v="0"/>
    <n v="1"/>
    <s v="Dr. Sharma"/>
    <n v="31013"/>
    <x v="4"/>
    <x v="0"/>
    <x v="0"/>
    <d v="2024-02-15T00:00:00"/>
    <d v="2024-02-15T09:00:00"/>
    <x v="1"/>
    <x v="0"/>
    <s v="Night"/>
    <n v="9"/>
    <n v="10"/>
    <s v="Plan A"/>
  </r>
  <r>
    <s v="PAT5193"/>
    <n v="52"/>
    <x v="0"/>
    <x v="2"/>
    <d v="2023-12-14T00:00:00"/>
    <d v="2023-12-29T00:00:00"/>
    <n v="15"/>
    <x v="0"/>
    <n v="5"/>
    <s v="Dr. Rao"/>
    <n v="32928"/>
    <x v="2"/>
    <x v="1"/>
    <x v="0"/>
    <d v="2023-10-12T00:00:00"/>
    <d v="2023-11-12T17:00:00"/>
    <x v="3"/>
    <x v="0"/>
    <s v="Night"/>
    <n v="10"/>
    <n v="10"/>
    <s v="Plan C"/>
  </r>
  <r>
    <s v="PAT5194"/>
    <n v="12"/>
    <x v="1"/>
    <x v="5"/>
    <d v="2023-04-22T00:00:00"/>
    <d v="2023-04-26T00:00:00"/>
    <n v="4"/>
    <x v="5"/>
    <n v="4"/>
    <s v="Dr. Rao"/>
    <n v="49990"/>
    <x v="3"/>
    <x v="1"/>
    <x v="1"/>
    <d v="2023-04-18T00:00:00"/>
    <d v="2023-04-18T20:00:00"/>
    <x v="0"/>
    <x v="0"/>
    <s v="Night"/>
    <n v="8"/>
    <n v="8"/>
    <s v="Plan B"/>
  </r>
  <r>
    <s v="PAT5195"/>
    <n v="39"/>
    <x v="4"/>
    <x v="5"/>
    <d v="2023-12-09T00:00:00"/>
    <d v="2023-09-19T00:00:00"/>
    <n v="7"/>
    <x v="5"/>
    <n v="2"/>
    <s v="Dr. Rao"/>
    <n v="46212"/>
    <x v="2"/>
    <x v="1"/>
    <x v="1"/>
    <d v="2023-12-09T00:00:00"/>
    <d v="2023-12-09T16:00:00"/>
    <x v="3"/>
    <x v="0"/>
    <s v="Afternoon"/>
    <n v="10"/>
    <n v="10"/>
    <s v="Plan A"/>
  </r>
  <r>
    <s v="PAT5196"/>
    <n v="2"/>
    <x v="1"/>
    <x v="2"/>
    <d v="2023-07-16T00:00:00"/>
    <d v="2023-07-22T00:00:00"/>
    <n v="6"/>
    <x v="4"/>
    <n v="4"/>
    <s v="Dr. Mehta"/>
    <n v="13210"/>
    <x v="1"/>
    <x v="0"/>
    <x v="0"/>
    <d v="2023-07-14T00:00:00"/>
    <d v="2023-07-14T17:00:00"/>
    <x v="4"/>
    <x v="0"/>
    <s v="Morning"/>
    <n v="5"/>
    <n v="12"/>
    <s v="Plan C"/>
  </r>
  <r>
    <s v="PAT5197"/>
    <n v="3"/>
    <x v="1"/>
    <x v="1"/>
    <d v="2023-07-14T00:00:00"/>
    <d v="2023-07-28T00:00:00"/>
    <n v="14"/>
    <x v="1"/>
    <n v="4"/>
    <s v="Dr. Rao"/>
    <n v="7759"/>
    <x v="2"/>
    <x v="1"/>
    <x v="0"/>
    <d v="2023-07-13T00:00:00"/>
    <d v="2023-07-14T19:00:00"/>
    <x v="4"/>
    <x v="0"/>
    <s v="Night"/>
    <n v="5"/>
    <n v="10"/>
    <s v="Plan C"/>
  </r>
  <r>
    <s v="PAT5198"/>
    <n v="56"/>
    <x v="0"/>
    <x v="1"/>
    <d v="2024-04-04T00:00:00"/>
    <d v="2024-12-04T00:00:00"/>
    <n v="8"/>
    <x v="3"/>
    <n v="3"/>
    <s v="Dr. Sharma"/>
    <n v="21091"/>
    <x v="2"/>
    <x v="1"/>
    <x v="0"/>
    <d v="2024-01-04T00:00:00"/>
    <d v="2024-01-04T10:00:00"/>
    <x v="4"/>
    <x v="0"/>
    <s v="Morning"/>
    <n v="4"/>
    <n v="12"/>
    <s v="Plan C"/>
  </r>
  <r>
    <s v="PAT5199"/>
    <n v="81"/>
    <x v="2"/>
    <x v="3"/>
    <d v="2023-05-24T00:00:00"/>
    <d v="2023-05-31T00:00:00"/>
    <n v="7"/>
    <x v="3"/>
    <n v="3"/>
    <s v="Dr. Patel"/>
    <n v="5002"/>
    <x v="0"/>
    <x v="1"/>
    <x v="0"/>
    <d v="2023-05-24T00:00:00"/>
    <d v="2023-05-25T22:00:00"/>
    <x v="4"/>
    <x v="0"/>
    <s v="Morning"/>
    <n v="8"/>
    <n v="8"/>
    <s v="Plan B"/>
  </r>
  <r>
    <s v="PAT5200"/>
    <n v="59"/>
    <x v="0"/>
    <x v="5"/>
    <d v="2024-08-03T00:00:00"/>
    <d v="2024-03-15T00:00:00"/>
    <n v="7"/>
    <x v="5"/>
    <n v="2"/>
    <s v="Dr. Patel"/>
    <n v="45958"/>
    <x v="3"/>
    <x v="1"/>
    <x v="0"/>
    <d v="2024-06-03T00:00:00"/>
    <d v="2024-07-03T04:00:00"/>
    <x v="1"/>
    <x v="0"/>
    <s v="Afternoon"/>
    <n v="8"/>
    <n v="12"/>
    <s v="Plan B"/>
  </r>
  <r>
    <s v="PAT5201"/>
    <n v="2"/>
    <x v="1"/>
    <x v="0"/>
    <d v="2023-07-07T00:00:00"/>
    <d v="2023-07-19T00:00:00"/>
    <n v="12"/>
    <x v="4"/>
    <n v="3"/>
    <s v="Dr. Gupta"/>
    <n v="35160"/>
    <x v="2"/>
    <x v="0"/>
    <x v="0"/>
    <d v="2023-04-07T00:00:00"/>
    <d v="2023-05-07T01:00:00"/>
    <x v="4"/>
    <x v="0"/>
    <s v="Night"/>
    <n v="10"/>
    <n v="8"/>
    <s v="Plan C"/>
  </r>
  <r>
    <s v="PAT5202"/>
    <n v="2"/>
    <x v="1"/>
    <x v="3"/>
    <d v="2023-10-13T00:00:00"/>
    <d v="2023-10-15T00:00:00"/>
    <n v="2"/>
    <x v="3"/>
    <n v="3"/>
    <s v="Dr. Sharma"/>
    <n v="25707"/>
    <x v="0"/>
    <x v="1"/>
    <x v="0"/>
    <d v="2023-12-10T00:00:00"/>
    <d v="2023-12-10T05:00:00"/>
    <x v="4"/>
    <x v="0"/>
    <s v="Morning"/>
    <n v="9"/>
    <n v="12"/>
    <s v="Plan C"/>
  </r>
  <r>
    <s v="PAT5203"/>
    <n v="54"/>
    <x v="0"/>
    <x v="1"/>
    <d v="2024-04-18T00:00:00"/>
    <d v="2024-04-24T00:00:00"/>
    <n v="6"/>
    <x v="3"/>
    <n v="3"/>
    <s v="Dr. Rao"/>
    <n v="20248"/>
    <x v="4"/>
    <x v="0"/>
    <x v="0"/>
    <d v="2024-04-17T00:00:00"/>
    <d v="2024-04-18T05:00:00"/>
    <x v="1"/>
    <x v="0"/>
    <s v="Afternoon"/>
    <n v="5"/>
    <n v="12"/>
    <s v="Plan C"/>
  </r>
  <r>
    <s v="PAT5204"/>
    <n v="87"/>
    <x v="2"/>
    <x v="2"/>
    <d v="2023-09-13T00:00:00"/>
    <d v="2023-09-20T00:00:00"/>
    <n v="7"/>
    <x v="1"/>
    <n v="4"/>
    <s v="Dr. Patel"/>
    <n v="10773"/>
    <x v="0"/>
    <x v="1"/>
    <x v="0"/>
    <d v="2023-09-13T00:00:00"/>
    <d v="2023-09-14T15:00:00"/>
    <x v="4"/>
    <x v="0"/>
    <s v="Afternoon"/>
    <n v="6"/>
    <n v="10"/>
    <s v="Plan C"/>
  </r>
  <r>
    <s v="PAT5205"/>
    <n v="1"/>
    <x v="1"/>
    <x v="1"/>
    <d v="2023-03-19T00:00:00"/>
    <d v="2023-03-25T00:00:00"/>
    <n v="6"/>
    <x v="2"/>
    <n v="2"/>
    <s v="Dr. Sharma"/>
    <n v="17786"/>
    <x v="0"/>
    <x v="0"/>
    <x v="1"/>
    <d v="2023-03-19T00:00:00"/>
    <d v="2023-03-20T07:00:00"/>
    <x v="3"/>
    <x v="1"/>
    <s v="Afternoon"/>
    <n v="4"/>
    <n v="12"/>
    <s v="Plan C"/>
  </r>
  <r>
    <s v="PAT5206"/>
    <n v="19"/>
    <x v="3"/>
    <x v="2"/>
    <d v="2024-03-29T00:00:00"/>
    <d v="2024-09-04T00:00:00"/>
    <n v="11"/>
    <x v="5"/>
    <n v="4"/>
    <s v="Dr. Patel"/>
    <n v="20037"/>
    <x v="0"/>
    <x v="1"/>
    <x v="1"/>
    <d v="2024-03-27T00:00:00"/>
    <d v="2024-03-28T14:00:00"/>
    <x v="3"/>
    <x v="0"/>
    <s v="Night"/>
    <n v="11"/>
    <n v="8"/>
    <s v="Plan C"/>
  </r>
  <r>
    <s v="PAT5207"/>
    <n v="2"/>
    <x v="1"/>
    <x v="3"/>
    <d v="2023-11-04T00:00:00"/>
    <d v="2023-04-16T00:00:00"/>
    <n v="5"/>
    <x v="5"/>
    <n v="5"/>
    <s v="Dr. Rao"/>
    <n v="6885"/>
    <x v="2"/>
    <x v="1"/>
    <x v="1"/>
    <d v="2023-08-04T00:00:00"/>
    <d v="2023-09-04T02:00:00"/>
    <x v="2"/>
    <x v="0"/>
    <s v="Night"/>
    <n v="8"/>
    <n v="12"/>
    <s v="Plan A"/>
  </r>
  <r>
    <s v="PAT5208"/>
    <n v="53"/>
    <x v="0"/>
    <x v="5"/>
    <d v="2023-02-21T00:00:00"/>
    <d v="2023-02-27T00:00:00"/>
    <n v="6"/>
    <x v="2"/>
    <n v="4"/>
    <s v="Dr. Patel"/>
    <n v="44828"/>
    <x v="2"/>
    <x v="1"/>
    <x v="1"/>
    <d v="2023-02-17T00:00:00"/>
    <d v="2023-02-18T11:00:00"/>
    <x v="3"/>
    <x v="0"/>
    <s v="Afternoon"/>
    <n v="7"/>
    <n v="8"/>
    <s v="Plan C"/>
  </r>
  <r>
    <s v="PAT5209"/>
    <n v="44"/>
    <x v="4"/>
    <x v="1"/>
    <d v="2023-01-16T00:00:00"/>
    <d v="2023-01-19T00:00:00"/>
    <n v="3"/>
    <x v="3"/>
    <n v="5"/>
    <s v="Dr. Gupta"/>
    <n v="21331"/>
    <x v="4"/>
    <x v="0"/>
    <x v="0"/>
    <d v="2023-01-13T00:00:00"/>
    <d v="2023-01-14T09:00:00"/>
    <x v="0"/>
    <x v="0"/>
    <s v="Night"/>
    <n v="7"/>
    <n v="8"/>
    <s v="Plan B"/>
  </r>
  <r>
    <s v="PAT5210"/>
    <n v="32"/>
    <x v="3"/>
    <x v="2"/>
    <d v="2023-06-04T00:00:00"/>
    <d v="2023-04-17T00:00:00"/>
    <n v="11"/>
    <x v="1"/>
    <n v="1"/>
    <s v="Dr. Gupta"/>
    <n v="45612"/>
    <x v="1"/>
    <x v="0"/>
    <x v="0"/>
    <d v="2023-05-04T00:00:00"/>
    <d v="2023-06-04T21:00:00"/>
    <x v="0"/>
    <x v="1"/>
    <s v="Night"/>
    <n v="6"/>
    <n v="12"/>
    <s v="Plan B"/>
  </r>
  <r>
    <s v="PAT5211"/>
    <n v="70"/>
    <x v="2"/>
    <x v="5"/>
    <d v="2023-08-31T00:00:00"/>
    <d v="2023-09-15T00:00:00"/>
    <n v="15"/>
    <x v="1"/>
    <n v="1"/>
    <s v="Dr. Patel"/>
    <n v="27495"/>
    <x v="1"/>
    <x v="1"/>
    <x v="0"/>
    <d v="2023-08-30T00:00:00"/>
    <d v="2023-08-31T03:00:00"/>
    <x v="0"/>
    <x v="0"/>
    <s v="Morning"/>
    <n v="5"/>
    <n v="10"/>
    <s v="Plan B"/>
  </r>
  <r>
    <s v="PAT5212"/>
    <n v="32"/>
    <x v="3"/>
    <x v="0"/>
    <d v="2023-06-20T00:00:00"/>
    <d v="2023-06-28T00:00:00"/>
    <n v="8"/>
    <x v="5"/>
    <n v="5"/>
    <s v="Dr. Sharma"/>
    <n v="18450"/>
    <x v="1"/>
    <x v="0"/>
    <x v="0"/>
    <d v="2023-06-18T00:00:00"/>
    <d v="2023-06-19T11:00:00"/>
    <x v="1"/>
    <x v="0"/>
    <s v="Afternoon"/>
    <n v="5"/>
    <n v="12"/>
    <s v="Plan C"/>
  </r>
  <r>
    <s v="PAT5213"/>
    <n v="68"/>
    <x v="2"/>
    <x v="2"/>
    <d v="2024-02-21T00:00:00"/>
    <d v="2024-02-23T00:00:00"/>
    <n v="2"/>
    <x v="1"/>
    <n v="5"/>
    <s v="Dr. Sharma"/>
    <n v="14491"/>
    <x v="4"/>
    <x v="1"/>
    <x v="0"/>
    <d v="2024-02-17T00:00:00"/>
    <d v="2024-02-17T03:00:00"/>
    <x v="3"/>
    <x v="0"/>
    <s v="Afternoon"/>
    <n v="5"/>
    <n v="12"/>
    <s v="Plan B"/>
  </r>
  <r>
    <s v="PAT5214"/>
    <n v="55"/>
    <x v="0"/>
    <x v="3"/>
    <d v="2024-12-05T00:00:00"/>
    <d v="2024-05-14T00:00:00"/>
    <n v="2"/>
    <x v="0"/>
    <n v="4"/>
    <s v="Dr. Sharma"/>
    <n v="14268"/>
    <x v="1"/>
    <x v="1"/>
    <x v="1"/>
    <d v="2024-07-05T00:00:00"/>
    <d v="2024-08-05T00:00:00"/>
    <x v="0"/>
    <x v="0"/>
    <s v="Night"/>
    <n v="9"/>
    <n v="10"/>
    <s v="Plan A"/>
  </r>
  <r>
    <s v="PAT5215"/>
    <n v="75"/>
    <x v="2"/>
    <x v="0"/>
    <d v="2024-07-05T00:00:00"/>
    <d v="2024-05-21T00:00:00"/>
    <n v="14"/>
    <x v="2"/>
    <n v="5"/>
    <s v="Dr. Patel"/>
    <n v="32757"/>
    <x v="1"/>
    <x v="1"/>
    <x v="1"/>
    <d v="2024-05-05T00:00:00"/>
    <d v="2024-06-05T21:00:00"/>
    <x v="2"/>
    <x v="0"/>
    <s v="Afternoon"/>
    <n v="10"/>
    <n v="8"/>
    <s v="Plan C"/>
  </r>
  <r>
    <s v="PAT5216"/>
    <n v="56"/>
    <x v="0"/>
    <x v="0"/>
    <d v="2023-07-08T00:00:00"/>
    <d v="2023-09-08T00:00:00"/>
    <n v="2"/>
    <x v="3"/>
    <n v="2"/>
    <s v="Dr. Sharma"/>
    <n v="46907"/>
    <x v="0"/>
    <x v="0"/>
    <x v="1"/>
    <d v="2023-06-08T00:00:00"/>
    <d v="2023-07-08T11:00:00"/>
    <x v="1"/>
    <x v="0"/>
    <s v="Afternoon"/>
    <n v="7"/>
    <n v="12"/>
    <s v="Plan B"/>
  </r>
  <r>
    <s v="PAT5217"/>
    <n v="17"/>
    <x v="1"/>
    <x v="4"/>
    <d v="2024-02-15T00:00:00"/>
    <d v="2024-02-17T00:00:00"/>
    <n v="2"/>
    <x v="0"/>
    <n v="1"/>
    <s v="Dr. Rao"/>
    <n v="11791"/>
    <x v="2"/>
    <x v="0"/>
    <x v="0"/>
    <d v="2024-02-14T00:00:00"/>
    <d v="2024-02-15T15:00:00"/>
    <x v="2"/>
    <x v="0"/>
    <s v="Afternoon"/>
    <n v="5"/>
    <n v="10"/>
    <s v="Plan A"/>
  </r>
  <r>
    <s v="PAT5218"/>
    <n v="38"/>
    <x v="4"/>
    <x v="1"/>
    <d v="2023-02-03T00:00:00"/>
    <d v="2023-09-03T00:00:00"/>
    <n v="7"/>
    <x v="2"/>
    <n v="1"/>
    <s v="Dr. Gupta"/>
    <n v="44939"/>
    <x v="2"/>
    <x v="1"/>
    <x v="1"/>
    <d v="2023-02-27T00:00:00"/>
    <d v="2023-02-28T17:00:00"/>
    <x v="3"/>
    <x v="0"/>
    <s v="Night"/>
    <n v="7"/>
    <n v="10"/>
    <s v="Plan A"/>
  </r>
  <r>
    <s v="PAT5219"/>
    <n v="24"/>
    <x v="3"/>
    <x v="2"/>
    <d v="2023-06-18T00:00:00"/>
    <d v="2023-06-20T00:00:00"/>
    <n v="2"/>
    <x v="4"/>
    <n v="5"/>
    <s v="Dr. Rao"/>
    <n v="33314"/>
    <x v="0"/>
    <x v="1"/>
    <x v="1"/>
    <d v="2023-06-14T00:00:00"/>
    <d v="2023-06-14T06:00:00"/>
    <x v="4"/>
    <x v="0"/>
    <s v="Night"/>
    <n v="6"/>
    <n v="8"/>
    <s v="Plan B"/>
  </r>
  <r>
    <s v="PAT5220"/>
    <n v="69"/>
    <x v="2"/>
    <x v="0"/>
    <d v="2024-01-24T00:00:00"/>
    <d v="2024-05-02T00:00:00"/>
    <n v="12"/>
    <x v="5"/>
    <n v="3"/>
    <s v="Dr. Sharma"/>
    <n v="33583"/>
    <x v="0"/>
    <x v="1"/>
    <x v="0"/>
    <d v="2024-01-21T00:00:00"/>
    <d v="2024-01-21T07:00:00"/>
    <x v="2"/>
    <x v="0"/>
    <s v="Night"/>
    <n v="4"/>
    <n v="10"/>
    <s v="Plan A"/>
  </r>
  <r>
    <s v="PAT5221"/>
    <n v="70"/>
    <x v="2"/>
    <x v="4"/>
    <d v="2023-03-01T00:00:00"/>
    <d v="2023-01-15T00:00:00"/>
    <n v="12"/>
    <x v="1"/>
    <n v="3"/>
    <s v="Dr. Rao"/>
    <n v="26550"/>
    <x v="0"/>
    <x v="1"/>
    <x v="0"/>
    <d v="2022-12-31T00:00:00"/>
    <d v="2022-12-31T16:00:00"/>
    <x v="4"/>
    <x v="0"/>
    <s v="Morning"/>
    <n v="10"/>
    <n v="8"/>
    <s v="Plan B"/>
  </r>
  <r>
    <s v="PAT5222"/>
    <n v="86"/>
    <x v="2"/>
    <x v="3"/>
    <d v="2024-04-02T00:00:00"/>
    <d v="2024-10-02T00:00:00"/>
    <n v="6"/>
    <x v="4"/>
    <n v="5"/>
    <s v="Dr. Sharma"/>
    <n v="5093"/>
    <x v="2"/>
    <x v="1"/>
    <x v="1"/>
    <d v="2024-02-02T00:00:00"/>
    <d v="2024-03-02T19:00:00"/>
    <x v="1"/>
    <x v="0"/>
    <s v="Afternoon"/>
    <n v="9"/>
    <n v="12"/>
    <s v="Plan A"/>
  </r>
  <r>
    <s v="PAT5223"/>
    <n v="11"/>
    <x v="1"/>
    <x v="5"/>
    <d v="2023-09-29T00:00:00"/>
    <d v="2023-12-10T00:00:00"/>
    <n v="13"/>
    <x v="1"/>
    <n v="2"/>
    <s v="Dr. Patel"/>
    <n v="40755"/>
    <x v="1"/>
    <x v="1"/>
    <x v="0"/>
    <d v="2023-09-26T00:00:00"/>
    <d v="2023-09-27T19:00:00"/>
    <x v="2"/>
    <x v="0"/>
    <s v="Morning"/>
    <n v="8"/>
    <n v="10"/>
    <s v="Plan C"/>
  </r>
  <r>
    <s v="PAT5224"/>
    <n v="16"/>
    <x v="1"/>
    <x v="2"/>
    <d v="2024-10-04T00:00:00"/>
    <d v="2024-04-13T00:00:00"/>
    <n v="3"/>
    <x v="0"/>
    <n v="3"/>
    <s v="Dr. Rao"/>
    <n v="14967"/>
    <x v="0"/>
    <x v="1"/>
    <x v="0"/>
    <d v="2024-10-04T00:00:00"/>
    <d v="2024-10-04T23:00:00"/>
    <x v="2"/>
    <x v="0"/>
    <s v="Night"/>
    <n v="6"/>
    <n v="12"/>
    <s v="Plan C"/>
  </r>
  <r>
    <s v="PAT5225"/>
    <n v="73"/>
    <x v="2"/>
    <x v="0"/>
    <d v="2023-10-20T00:00:00"/>
    <d v="2023-10-29T00:00:00"/>
    <n v="9"/>
    <x v="3"/>
    <n v="5"/>
    <s v="Dr. Patel"/>
    <n v="21218"/>
    <x v="4"/>
    <x v="1"/>
    <x v="0"/>
    <d v="2023-10-20T00:00:00"/>
    <d v="2023-10-20T11:00:00"/>
    <x v="1"/>
    <x v="0"/>
    <s v="Morning"/>
    <n v="10"/>
    <n v="10"/>
    <s v="Plan C"/>
  </r>
  <r>
    <s v="PAT5226"/>
    <n v="59"/>
    <x v="0"/>
    <x v="1"/>
    <d v="2024-09-03T00:00:00"/>
    <d v="2024-10-03T00:00:00"/>
    <n v="1"/>
    <x v="3"/>
    <n v="2"/>
    <s v="Dr. Patel"/>
    <n v="48220"/>
    <x v="0"/>
    <x v="1"/>
    <x v="0"/>
    <d v="2024-06-03T00:00:00"/>
    <d v="2024-07-03T18:00:00"/>
    <x v="1"/>
    <x v="0"/>
    <s v="Afternoon"/>
    <n v="7"/>
    <n v="10"/>
    <s v="Plan C"/>
  </r>
  <r>
    <s v="PAT5227"/>
    <n v="70"/>
    <x v="2"/>
    <x v="4"/>
    <d v="2024-05-13T00:00:00"/>
    <d v="2024-05-23T00:00:00"/>
    <n v="10"/>
    <x v="3"/>
    <n v="2"/>
    <s v="Dr. Mehta"/>
    <n v="13627"/>
    <x v="3"/>
    <x v="1"/>
    <x v="1"/>
    <d v="2024-09-05T00:00:00"/>
    <d v="2024-10-05T16:00:00"/>
    <x v="0"/>
    <x v="0"/>
    <s v="Afternoon"/>
    <n v="6"/>
    <n v="12"/>
    <s v="Plan C"/>
  </r>
  <r>
    <s v="PAT5228"/>
    <n v="80"/>
    <x v="2"/>
    <x v="0"/>
    <d v="2023-08-06T00:00:00"/>
    <d v="2023-06-17T00:00:00"/>
    <n v="9"/>
    <x v="1"/>
    <n v="4"/>
    <s v="Dr. Sharma"/>
    <n v="9947"/>
    <x v="0"/>
    <x v="1"/>
    <x v="1"/>
    <d v="2023-05-06T00:00:00"/>
    <d v="2023-05-06T03:00:00"/>
    <x v="3"/>
    <x v="0"/>
    <s v="Night"/>
    <n v="8"/>
    <n v="10"/>
    <s v="Plan B"/>
  </r>
  <r>
    <s v="PAT5229"/>
    <n v="3"/>
    <x v="1"/>
    <x v="1"/>
    <d v="2023-07-14T00:00:00"/>
    <d v="2023-07-23T00:00:00"/>
    <n v="9"/>
    <x v="4"/>
    <n v="2"/>
    <s v="Dr. Gupta"/>
    <n v="44419"/>
    <x v="2"/>
    <x v="0"/>
    <x v="0"/>
    <d v="2023-07-13T00:00:00"/>
    <d v="2023-07-14T13:00:00"/>
    <x v="2"/>
    <x v="1"/>
    <s v="Night"/>
    <n v="10"/>
    <n v="12"/>
    <s v="Plan C"/>
  </r>
  <r>
    <s v="PAT5230"/>
    <n v="20"/>
    <x v="3"/>
    <x v="0"/>
    <d v="2023-10-31T00:00:00"/>
    <d v="2023-06-11T00:00:00"/>
    <n v="6"/>
    <x v="3"/>
    <n v="3"/>
    <s v="Dr. Sharma"/>
    <n v="28178"/>
    <x v="0"/>
    <x v="1"/>
    <x v="0"/>
    <d v="2023-10-30T00:00:00"/>
    <d v="2023-10-31T18:00:00"/>
    <x v="2"/>
    <x v="0"/>
    <s v="Morning"/>
    <n v="9"/>
    <n v="12"/>
    <s v="Plan C"/>
  </r>
  <r>
    <s v="PAT5231"/>
    <n v="59"/>
    <x v="0"/>
    <x v="2"/>
    <d v="2023-11-08T00:00:00"/>
    <d v="2023-08-22T00:00:00"/>
    <n v="11"/>
    <x v="4"/>
    <n v="3"/>
    <s v="Dr. Gupta"/>
    <n v="33876"/>
    <x v="3"/>
    <x v="1"/>
    <x v="0"/>
    <d v="2023-07-08T00:00:00"/>
    <d v="2023-08-08T20:00:00"/>
    <x v="1"/>
    <x v="0"/>
    <s v="Night"/>
    <n v="11"/>
    <n v="8"/>
    <s v="Plan C"/>
  </r>
  <r>
    <s v="PAT5232"/>
    <n v="36"/>
    <x v="4"/>
    <x v="2"/>
    <d v="2023-01-03T00:00:00"/>
    <d v="2023-03-03T00:00:00"/>
    <n v="2"/>
    <x v="1"/>
    <n v="5"/>
    <s v="Dr. Sharma"/>
    <n v="27908"/>
    <x v="4"/>
    <x v="1"/>
    <x v="0"/>
    <d v="2023-02-27T00:00:00"/>
    <d v="2023-02-28T18:00:00"/>
    <x v="1"/>
    <x v="0"/>
    <s v="Morning"/>
    <n v="4"/>
    <n v="12"/>
    <s v="Plan C"/>
  </r>
  <r>
    <s v="PAT5233"/>
    <n v="19"/>
    <x v="3"/>
    <x v="2"/>
    <d v="2023-04-03T00:00:00"/>
    <d v="2023-11-03T00:00:00"/>
    <n v="7"/>
    <x v="0"/>
    <n v="5"/>
    <s v="Dr. Patel"/>
    <n v="40912"/>
    <x v="1"/>
    <x v="1"/>
    <x v="0"/>
    <d v="2023-04-03T00:00:00"/>
    <d v="2023-05-03T02:00:00"/>
    <x v="3"/>
    <x v="0"/>
    <s v="Afternoon"/>
    <n v="8"/>
    <n v="8"/>
    <s v="Plan A"/>
  </r>
  <r>
    <s v="PAT5234"/>
    <n v="67"/>
    <x v="2"/>
    <x v="3"/>
    <d v="2023-11-18T00:00:00"/>
    <d v="2023-11-24T00:00:00"/>
    <n v="6"/>
    <x v="4"/>
    <n v="2"/>
    <s v="Dr. Rao"/>
    <n v="24971"/>
    <x v="0"/>
    <x v="1"/>
    <x v="0"/>
    <d v="2023-11-18T00:00:00"/>
    <d v="2023-11-18T22:00:00"/>
    <x v="1"/>
    <x v="0"/>
    <s v="Afternoon"/>
    <n v="10"/>
    <n v="12"/>
    <s v="Plan C"/>
  </r>
  <r>
    <s v="PAT5235"/>
    <n v="19"/>
    <x v="3"/>
    <x v="3"/>
    <d v="2023-02-28T00:00:00"/>
    <d v="2023-03-14T00:00:00"/>
    <n v="14"/>
    <x v="0"/>
    <n v="1"/>
    <s v="Dr. Rao"/>
    <n v="37584"/>
    <x v="3"/>
    <x v="1"/>
    <x v="0"/>
    <d v="2023-02-26T00:00:00"/>
    <d v="2023-02-27T04:00:00"/>
    <x v="4"/>
    <x v="1"/>
    <s v="Afternoon"/>
    <n v="9"/>
    <n v="10"/>
    <s v="Plan C"/>
  </r>
  <r>
    <s v="PAT5236"/>
    <n v="20"/>
    <x v="3"/>
    <x v="4"/>
    <d v="2023-02-21T00:00:00"/>
    <d v="2023-04-03T00:00:00"/>
    <n v="11"/>
    <x v="1"/>
    <n v="4"/>
    <s v="Dr. Mehta"/>
    <n v="13959"/>
    <x v="3"/>
    <x v="1"/>
    <x v="0"/>
    <d v="2023-02-18T00:00:00"/>
    <d v="2023-02-18T07:00:00"/>
    <x v="4"/>
    <x v="1"/>
    <s v="Afternoon"/>
    <n v="7"/>
    <n v="12"/>
    <s v="Plan B"/>
  </r>
  <r>
    <s v="PAT5237"/>
    <n v="71"/>
    <x v="2"/>
    <x v="2"/>
    <d v="2024-03-05T00:00:00"/>
    <d v="2024-05-16T00:00:00"/>
    <n v="13"/>
    <x v="1"/>
    <n v="1"/>
    <s v="Dr. Gupta"/>
    <n v="33261"/>
    <x v="4"/>
    <x v="0"/>
    <x v="1"/>
    <d v="2024-04-29T00:00:00"/>
    <d v="2024-04-29T01:00:00"/>
    <x v="4"/>
    <x v="0"/>
    <s v="Afternoon"/>
    <n v="8"/>
    <n v="10"/>
    <s v="Plan A"/>
  </r>
  <r>
    <s v="PAT5238"/>
    <n v="52"/>
    <x v="0"/>
    <x v="1"/>
    <d v="2024-05-29T00:00:00"/>
    <d v="2024-05-06T00:00:00"/>
    <n v="7"/>
    <x v="5"/>
    <n v="2"/>
    <s v="Dr. Gupta"/>
    <n v="46065"/>
    <x v="2"/>
    <x v="1"/>
    <x v="0"/>
    <d v="2024-05-24T00:00:00"/>
    <d v="2024-05-24T07:00:00"/>
    <x v="4"/>
    <x v="1"/>
    <s v="Morning"/>
    <n v="11"/>
    <n v="8"/>
    <s v="Plan B"/>
  </r>
  <r>
    <s v="PAT5239"/>
    <n v="33"/>
    <x v="3"/>
    <x v="0"/>
    <d v="2023-11-06T00:00:00"/>
    <d v="2023-06-25T00:00:00"/>
    <n v="14"/>
    <x v="1"/>
    <n v="2"/>
    <s v="Dr. Gupta"/>
    <n v="44462"/>
    <x v="0"/>
    <x v="1"/>
    <x v="1"/>
    <d v="2023-06-06T00:00:00"/>
    <d v="2023-06-06T17:00:00"/>
    <x v="3"/>
    <x v="0"/>
    <s v="Afternoon"/>
    <n v="6"/>
    <n v="10"/>
    <s v="Plan C"/>
  </r>
  <r>
    <s v="PAT5240"/>
    <n v="40"/>
    <x v="4"/>
    <x v="5"/>
    <d v="2023-02-28T00:00:00"/>
    <d v="2023-03-15T00:00:00"/>
    <n v="15"/>
    <x v="1"/>
    <n v="1"/>
    <s v="Dr. Patel"/>
    <n v="20835"/>
    <x v="3"/>
    <x v="0"/>
    <x v="1"/>
    <d v="2023-02-25T00:00:00"/>
    <d v="2023-02-25T15:00:00"/>
    <x v="2"/>
    <x v="0"/>
    <s v="Morning"/>
    <n v="5"/>
    <n v="12"/>
    <s v="Plan B"/>
  </r>
  <r>
    <s v="PAT5241"/>
    <n v="39"/>
    <x v="4"/>
    <x v="1"/>
    <d v="2024-04-06T00:00:00"/>
    <d v="2024-06-16T00:00:00"/>
    <n v="12"/>
    <x v="2"/>
    <n v="4"/>
    <s v="Dr. Gupta"/>
    <n v="24257"/>
    <x v="4"/>
    <x v="1"/>
    <x v="0"/>
    <d v="2024-02-06T00:00:00"/>
    <d v="2024-03-06T09:00:00"/>
    <x v="4"/>
    <x v="0"/>
    <s v="Afternoon"/>
    <n v="6"/>
    <n v="10"/>
    <s v="Plan B"/>
  </r>
  <r>
    <s v="PAT5242"/>
    <n v="82"/>
    <x v="2"/>
    <x v="3"/>
    <d v="2023-03-24T00:00:00"/>
    <d v="2023-03-25T00:00:00"/>
    <n v="1"/>
    <x v="3"/>
    <n v="1"/>
    <s v="Dr. Rao"/>
    <n v="8346"/>
    <x v="1"/>
    <x v="0"/>
    <x v="1"/>
    <d v="2023-03-20T00:00:00"/>
    <d v="2023-03-22T00:00:00"/>
    <x v="1"/>
    <x v="0"/>
    <s v="Morning"/>
    <n v="7"/>
    <n v="8"/>
    <s v="Plan C"/>
  </r>
  <r>
    <s v="PAT5243"/>
    <n v="1"/>
    <x v="1"/>
    <x v="3"/>
    <d v="2023-10-07T00:00:00"/>
    <d v="2023-07-15T00:00:00"/>
    <n v="5"/>
    <x v="5"/>
    <n v="5"/>
    <s v="Dr. Patel"/>
    <n v="35807"/>
    <x v="3"/>
    <x v="1"/>
    <x v="1"/>
    <d v="2023-10-07T00:00:00"/>
    <d v="2023-11-07T10:00:00"/>
    <x v="4"/>
    <x v="0"/>
    <s v="Morning"/>
    <n v="10"/>
    <n v="10"/>
    <s v="Plan A"/>
  </r>
  <r>
    <s v="PAT5244"/>
    <n v="11"/>
    <x v="1"/>
    <x v="1"/>
    <d v="2023-12-03T00:00:00"/>
    <d v="2023-03-22T00:00:00"/>
    <n v="10"/>
    <x v="5"/>
    <n v="3"/>
    <s v="Dr. Sharma"/>
    <n v="35418"/>
    <x v="4"/>
    <x v="0"/>
    <x v="1"/>
    <d v="2023-12-03T00:00:00"/>
    <d v="2023-03-13T12:00:00"/>
    <x v="3"/>
    <x v="0"/>
    <s v="Morning"/>
    <n v="11"/>
    <n v="10"/>
    <s v="Plan A"/>
  </r>
  <r>
    <s v="PAT5245"/>
    <n v="57"/>
    <x v="0"/>
    <x v="3"/>
    <d v="2023-11-03T00:00:00"/>
    <d v="2023-03-16T00:00:00"/>
    <n v="5"/>
    <x v="5"/>
    <n v="5"/>
    <s v="Dr. Gupta"/>
    <n v="16340"/>
    <x v="2"/>
    <x v="1"/>
    <x v="0"/>
    <d v="2023-08-03T00:00:00"/>
    <d v="2023-09-03T14:00:00"/>
    <x v="1"/>
    <x v="0"/>
    <s v="Night"/>
    <n v="4"/>
    <n v="12"/>
    <s v="Plan B"/>
  </r>
  <r>
    <s v="PAT5246"/>
    <n v="89"/>
    <x v="2"/>
    <x v="2"/>
    <d v="2023-08-29T00:00:00"/>
    <d v="2023-04-09T00:00:00"/>
    <n v="6"/>
    <x v="2"/>
    <n v="3"/>
    <s v="Dr. Gupta"/>
    <n v="38012"/>
    <x v="2"/>
    <x v="1"/>
    <x v="0"/>
    <d v="2023-08-28T00:00:00"/>
    <d v="2023-08-29T21:00:00"/>
    <x v="4"/>
    <x v="0"/>
    <s v="Morning"/>
    <n v="8"/>
    <n v="12"/>
    <s v="Plan C"/>
  </r>
  <r>
    <s v="PAT5247"/>
    <n v="50"/>
    <x v="4"/>
    <x v="4"/>
    <d v="2024-02-18T00:00:00"/>
    <d v="2024-02-20T00:00:00"/>
    <n v="2"/>
    <x v="0"/>
    <n v="2"/>
    <s v="Dr. Sharma"/>
    <n v="40393"/>
    <x v="3"/>
    <x v="0"/>
    <x v="0"/>
    <d v="2024-02-16T00:00:00"/>
    <d v="2024-02-17T13:00:00"/>
    <x v="2"/>
    <x v="0"/>
    <s v="Morning"/>
    <n v="10"/>
    <n v="10"/>
    <s v="Plan B"/>
  </r>
  <r>
    <s v="PAT5248"/>
    <n v="23"/>
    <x v="3"/>
    <x v="0"/>
    <d v="2023-03-05T00:00:00"/>
    <d v="2023-05-13T00:00:00"/>
    <n v="10"/>
    <x v="1"/>
    <n v="4"/>
    <s v="Dr. Gupta"/>
    <n v="41617"/>
    <x v="3"/>
    <x v="1"/>
    <x v="1"/>
    <d v="2023-04-28T00:00:00"/>
    <d v="2023-04-28T15:00:00"/>
    <x v="1"/>
    <x v="0"/>
    <s v="Afternoon"/>
    <n v="4"/>
    <n v="8"/>
    <s v="Plan B"/>
  </r>
  <r>
    <s v="PAT5249"/>
    <n v="31"/>
    <x v="3"/>
    <x v="4"/>
    <d v="2023-10-09T00:00:00"/>
    <d v="2023-09-19T00:00:00"/>
    <n v="9"/>
    <x v="3"/>
    <n v="1"/>
    <s v="Dr. Sharma"/>
    <n v="14597"/>
    <x v="0"/>
    <x v="1"/>
    <x v="0"/>
    <d v="2023-08-09T00:00:00"/>
    <d v="2023-09-09T05:00:00"/>
    <x v="1"/>
    <x v="0"/>
    <s v="Morning"/>
    <n v="7"/>
    <n v="10"/>
    <s v="Plan B"/>
  </r>
  <r>
    <s v="PAT5250"/>
    <n v="42"/>
    <x v="4"/>
    <x v="0"/>
    <d v="2023-10-02T00:00:00"/>
    <d v="2023-02-14T00:00:00"/>
    <n v="4"/>
    <x v="4"/>
    <n v="4"/>
    <s v="Dr. Patel"/>
    <n v="30557"/>
    <x v="4"/>
    <x v="0"/>
    <x v="0"/>
    <d v="2023-07-02T00:00:00"/>
    <d v="2023-08-02T00:00:00"/>
    <x v="2"/>
    <x v="0"/>
    <s v="Morning"/>
    <n v="8"/>
    <n v="8"/>
    <s v="Plan C"/>
  </r>
  <r>
    <s v="PAT5251"/>
    <n v="7"/>
    <x v="1"/>
    <x v="0"/>
    <d v="2023-03-25T00:00:00"/>
    <d v="2023-03-28T00:00:00"/>
    <n v="3"/>
    <x v="0"/>
    <n v="1"/>
    <s v="Dr. Rao"/>
    <n v="12737"/>
    <x v="3"/>
    <x v="1"/>
    <x v="0"/>
    <d v="2023-03-23T00:00:00"/>
    <d v="2023-03-24T02:00:00"/>
    <x v="1"/>
    <x v="0"/>
    <s v="Night"/>
    <n v="9"/>
    <n v="8"/>
    <s v="Plan C"/>
  </r>
  <r>
    <s v="PAT5252"/>
    <n v="16"/>
    <x v="1"/>
    <x v="4"/>
    <d v="2024-05-03T00:00:00"/>
    <d v="2024-03-16T00:00:00"/>
    <n v="11"/>
    <x v="1"/>
    <n v="5"/>
    <s v="Dr. Sharma"/>
    <n v="49768"/>
    <x v="0"/>
    <x v="1"/>
    <x v="0"/>
    <d v="2024-05-03T00:00:00"/>
    <d v="2024-06-03T06:00:00"/>
    <x v="4"/>
    <x v="0"/>
    <s v="Afternoon"/>
    <n v="9"/>
    <n v="8"/>
    <s v="Plan A"/>
  </r>
  <r>
    <s v="PAT5253"/>
    <n v="60"/>
    <x v="0"/>
    <x v="1"/>
    <d v="2024-06-19T00:00:00"/>
    <d v="2024-06-27T00:00:00"/>
    <n v="8"/>
    <x v="2"/>
    <n v="5"/>
    <s v="Dr. Mehta"/>
    <n v="46101"/>
    <x v="0"/>
    <x v="0"/>
    <x v="1"/>
    <d v="2024-06-16T00:00:00"/>
    <d v="2024-06-17T20:00:00"/>
    <x v="1"/>
    <x v="0"/>
    <s v="Night"/>
    <n v="10"/>
    <n v="10"/>
    <s v="Plan C"/>
  </r>
  <r>
    <s v="PAT5254"/>
    <n v="2"/>
    <x v="1"/>
    <x v="0"/>
    <d v="2023-11-20T00:00:00"/>
    <d v="2023-11-24T00:00:00"/>
    <n v="4"/>
    <x v="1"/>
    <n v="1"/>
    <s v="Dr. Sharma"/>
    <n v="22276"/>
    <x v="3"/>
    <x v="1"/>
    <x v="0"/>
    <d v="2023-11-20T00:00:00"/>
    <d v="2023-11-21T14:00:00"/>
    <x v="4"/>
    <x v="0"/>
    <s v="Night"/>
    <n v="6"/>
    <n v="8"/>
    <s v="Plan B"/>
  </r>
  <r>
    <s v="PAT5255"/>
    <n v="1"/>
    <x v="1"/>
    <x v="4"/>
    <d v="2023-09-25T00:00:00"/>
    <d v="2023-09-10T00:00:00"/>
    <n v="14"/>
    <x v="1"/>
    <n v="4"/>
    <s v="Dr. Gupta"/>
    <n v="12310"/>
    <x v="2"/>
    <x v="0"/>
    <x v="0"/>
    <d v="2023-09-21T00:00:00"/>
    <d v="2023-09-22T21:00:00"/>
    <x v="2"/>
    <x v="0"/>
    <s v="Night"/>
    <n v="10"/>
    <n v="10"/>
    <s v="Plan B"/>
  </r>
  <r>
    <s v="PAT5256"/>
    <n v="48"/>
    <x v="4"/>
    <x v="0"/>
    <d v="2023-07-29T00:00:00"/>
    <d v="2023-07-31T00:00:00"/>
    <n v="2"/>
    <x v="2"/>
    <n v="1"/>
    <s v="Dr. Patel"/>
    <n v="40167"/>
    <x v="4"/>
    <x v="0"/>
    <x v="0"/>
    <d v="2023-07-25T00:00:00"/>
    <d v="2023-07-26T09:00:00"/>
    <x v="0"/>
    <x v="1"/>
    <s v="Morning"/>
    <n v="6"/>
    <n v="8"/>
    <s v="Plan A"/>
  </r>
  <r>
    <s v="PAT5257"/>
    <n v="12"/>
    <x v="1"/>
    <x v="5"/>
    <d v="2023-11-18T00:00:00"/>
    <d v="2023-11-24T00:00:00"/>
    <n v="6"/>
    <x v="5"/>
    <n v="2"/>
    <s v="Dr. Patel"/>
    <n v="42408"/>
    <x v="4"/>
    <x v="1"/>
    <x v="0"/>
    <d v="2023-11-17T00:00:00"/>
    <d v="2023-11-17T10:00:00"/>
    <x v="2"/>
    <x v="0"/>
    <s v="Night"/>
    <n v="11"/>
    <n v="8"/>
    <s v="Plan C"/>
  </r>
  <r>
    <s v="PAT5258"/>
    <n v="69"/>
    <x v="2"/>
    <x v="1"/>
    <d v="2023-02-09T00:00:00"/>
    <d v="2023-09-16T00:00:00"/>
    <n v="14"/>
    <x v="5"/>
    <n v="5"/>
    <s v="Dr. Sharma"/>
    <n v="24344"/>
    <x v="2"/>
    <x v="1"/>
    <x v="0"/>
    <d v="2023-08-31T00:00:00"/>
    <d v="2023-08-31T23:00:00"/>
    <x v="4"/>
    <x v="1"/>
    <s v="Night"/>
    <n v="7"/>
    <n v="10"/>
    <s v="Plan B"/>
  </r>
  <r>
    <s v="PAT5259"/>
    <n v="37"/>
    <x v="4"/>
    <x v="2"/>
    <d v="2023-09-29T00:00:00"/>
    <d v="2023-08-10T00:00:00"/>
    <n v="9"/>
    <x v="3"/>
    <n v="2"/>
    <s v="Dr. Rao"/>
    <n v="15391"/>
    <x v="3"/>
    <x v="1"/>
    <x v="0"/>
    <d v="2023-09-25T00:00:00"/>
    <d v="2023-09-25T02:00:00"/>
    <x v="3"/>
    <x v="0"/>
    <s v="Afternoon"/>
    <n v="9"/>
    <n v="12"/>
    <s v="Plan A"/>
  </r>
  <r>
    <s v="PAT5260"/>
    <n v="32"/>
    <x v="3"/>
    <x v="0"/>
    <d v="2024-10-02T00:00:00"/>
    <d v="2024-02-16T00:00:00"/>
    <n v="6"/>
    <x v="3"/>
    <n v="5"/>
    <s v="Dr. Mehta"/>
    <n v="15892"/>
    <x v="4"/>
    <x v="1"/>
    <x v="0"/>
    <d v="2024-08-02T00:00:00"/>
    <d v="2024-09-02T07:00:00"/>
    <x v="2"/>
    <x v="0"/>
    <s v="Afternoon"/>
    <n v="11"/>
    <n v="12"/>
    <s v="Plan A"/>
  </r>
  <r>
    <s v="PAT5261"/>
    <n v="9"/>
    <x v="1"/>
    <x v="5"/>
    <d v="2023-05-15T00:00:00"/>
    <d v="2023-05-17T00:00:00"/>
    <n v="2"/>
    <x v="5"/>
    <n v="5"/>
    <s v="Dr. Patel"/>
    <n v="16197"/>
    <x v="3"/>
    <x v="0"/>
    <x v="0"/>
    <d v="2023-05-15T00:00:00"/>
    <d v="2023-05-15T07:00:00"/>
    <x v="3"/>
    <x v="0"/>
    <s v="Afternoon"/>
    <n v="8"/>
    <n v="10"/>
    <s v="Plan B"/>
  </r>
  <r>
    <s v="PAT5262"/>
    <n v="19"/>
    <x v="3"/>
    <x v="2"/>
    <d v="2023-04-11T00:00:00"/>
    <d v="2023-11-17T00:00:00"/>
    <n v="13"/>
    <x v="0"/>
    <n v="3"/>
    <s v="Dr. Gupta"/>
    <n v="18050"/>
    <x v="3"/>
    <x v="1"/>
    <x v="0"/>
    <d v="2023-01-11T00:00:00"/>
    <d v="2023-01-11T19:00:00"/>
    <x v="3"/>
    <x v="0"/>
    <s v="Afternoon"/>
    <n v="9"/>
    <n v="10"/>
    <s v="Plan B"/>
  </r>
  <r>
    <s v="PAT5263"/>
    <n v="48"/>
    <x v="4"/>
    <x v="2"/>
    <d v="2024-04-13T00:00:00"/>
    <d v="2024-04-18T00:00:00"/>
    <n v="5"/>
    <x v="4"/>
    <n v="2"/>
    <s v="Dr. Gupta"/>
    <n v="41142"/>
    <x v="0"/>
    <x v="1"/>
    <x v="1"/>
    <d v="2024-09-04T00:00:00"/>
    <d v="2024-10-04T03:00:00"/>
    <x v="4"/>
    <x v="0"/>
    <s v="Night"/>
    <n v="6"/>
    <n v="12"/>
    <s v="Plan C"/>
  </r>
  <r>
    <s v="PAT5264"/>
    <n v="80"/>
    <x v="2"/>
    <x v="0"/>
    <d v="2023-11-20T00:00:00"/>
    <d v="2023-11-30T00:00:00"/>
    <n v="10"/>
    <x v="1"/>
    <n v="2"/>
    <s v="Dr. Rao"/>
    <n v="46615"/>
    <x v="2"/>
    <x v="0"/>
    <x v="0"/>
    <d v="2023-11-17T00:00:00"/>
    <d v="2023-11-17T06:00:00"/>
    <x v="4"/>
    <x v="0"/>
    <s v="Afternoon"/>
    <n v="10"/>
    <n v="12"/>
    <s v="Plan A"/>
  </r>
  <r>
    <s v="PAT5265"/>
    <n v="3"/>
    <x v="1"/>
    <x v="4"/>
    <d v="2023-03-16T00:00:00"/>
    <d v="2023-03-20T00:00:00"/>
    <n v="4"/>
    <x v="4"/>
    <n v="3"/>
    <s v="Dr. Patel"/>
    <n v="48728"/>
    <x v="3"/>
    <x v="0"/>
    <x v="0"/>
    <d v="2023-12-03T00:00:00"/>
    <d v="2023-12-03T08:00:00"/>
    <x v="0"/>
    <x v="0"/>
    <s v="Morning"/>
    <n v="7"/>
    <n v="12"/>
    <s v="Plan B"/>
  </r>
  <r>
    <s v="PAT5266"/>
    <n v="20"/>
    <x v="3"/>
    <x v="0"/>
    <d v="2023-10-01T00:00:00"/>
    <d v="2023-01-23T00:00:00"/>
    <n v="13"/>
    <x v="1"/>
    <n v="4"/>
    <s v="Dr. Sharma"/>
    <n v="18535"/>
    <x v="1"/>
    <x v="1"/>
    <x v="0"/>
    <d v="2023-08-01T00:00:00"/>
    <d v="2023-09-01T23:00:00"/>
    <x v="1"/>
    <x v="0"/>
    <s v="Night"/>
    <n v="9"/>
    <n v="10"/>
    <s v="Plan A"/>
  </r>
  <r>
    <s v="PAT5267"/>
    <n v="24"/>
    <x v="3"/>
    <x v="5"/>
    <d v="2024-04-14T00:00:00"/>
    <d v="2024-04-21T00:00:00"/>
    <n v="7"/>
    <x v="5"/>
    <n v="2"/>
    <s v="Dr. Gupta"/>
    <n v="46002"/>
    <x v="2"/>
    <x v="1"/>
    <x v="1"/>
    <d v="2024-10-04T00:00:00"/>
    <d v="2024-10-04T10:00:00"/>
    <x v="2"/>
    <x v="0"/>
    <s v="Afternoon"/>
    <n v="11"/>
    <n v="8"/>
    <s v="Plan C"/>
  </r>
  <r>
    <s v="PAT5268"/>
    <n v="54"/>
    <x v="0"/>
    <x v="2"/>
    <d v="2023-04-13T00:00:00"/>
    <d v="2023-04-27T00:00:00"/>
    <n v="14"/>
    <x v="3"/>
    <n v="1"/>
    <s v="Dr. Rao"/>
    <n v="48271"/>
    <x v="4"/>
    <x v="0"/>
    <x v="0"/>
    <d v="2023-08-04T00:00:00"/>
    <d v="2023-08-04T23:00:00"/>
    <x v="4"/>
    <x v="0"/>
    <s v="Night"/>
    <n v="7"/>
    <n v="10"/>
    <s v="Plan B"/>
  </r>
  <r>
    <s v="PAT5269"/>
    <n v="33"/>
    <x v="3"/>
    <x v="0"/>
    <d v="2023-03-17T00:00:00"/>
    <d v="2023-03-26T00:00:00"/>
    <n v="9"/>
    <x v="0"/>
    <n v="3"/>
    <s v="Dr. Patel"/>
    <n v="10122"/>
    <x v="0"/>
    <x v="0"/>
    <x v="0"/>
    <d v="2023-03-13T00:00:00"/>
    <d v="2023-03-13T20:00:00"/>
    <x v="2"/>
    <x v="0"/>
    <s v="Afternoon"/>
    <n v="11"/>
    <n v="12"/>
    <s v="Plan C"/>
  </r>
  <r>
    <s v="PAT5270"/>
    <n v="24"/>
    <x v="3"/>
    <x v="4"/>
    <d v="2023-07-08T00:00:00"/>
    <d v="2023-08-20T00:00:00"/>
    <n v="13"/>
    <x v="3"/>
    <n v="2"/>
    <s v="Dr. Patel"/>
    <n v="14852"/>
    <x v="4"/>
    <x v="1"/>
    <x v="0"/>
    <d v="2023-07-08T00:00:00"/>
    <d v="2023-07-08T22:00:00"/>
    <x v="3"/>
    <x v="0"/>
    <s v="Night"/>
    <n v="9"/>
    <n v="8"/>
    <s v="Plan A"/>
  </r>
  <r>
    <s v="PAT5271"/>
    <n v="75"/>
    <x v="2"/>
    <x v="0"/>
    <d v="2024-02-06T00:00:00"/>
    <d v="2024-06-16T00:00:00"/>
    <n v="14"/>
    <x v="4"/>
    <n v="4"/>
    <s v="Dr. Patel"/>
    <n v="10387"/>
    <x v="4"/>
    <x v="1"/>
    <x v="0"/>
    <d v="2024-01-06T00:00:00"/>
    <d v="2024-02-06T06:00:00"/>
    <x v="1"/>
    <x v="0"/>
    <s v="Afternoon"/>
    <n v="10"/>
    <n v="10"/>
    <s v="Plan C"/>
  </r>
  <r>
    <s v="PAT5272"/>
    <n v="72"/>
    <x v="2"/>
    <x v="1"/>
    <d v="2023-09-29T00:00:00"/>
    <d v="2023-09-10T00:00:00"/>
    <n v="10"/>
    <x v="3"/>
    <n v="2"/>
    <s v="Dr. Patel"/>
    <n v="36759"/>
    <x v="2"/>
    <x v="1"/>
    <x v="0"/>
    <d v="2023-09-29T00:00:00"/>
    <d v="2023-09-29T14:00:00"/>
    <x v="0"/>
    <x v="0"/>
    <s v="Morning"/>
    <n v="4"/>
    <n v="12"/>
    <s v="Plan C"/>
  </r>
  <r>
    <s v="PAT5273"/>
    <n v="36"/>
    <x v="4"/>
    <x v="4"/>
    <d v="2023-05-16T00:00:00"/>
    <d v="2023-05-26T00:00:00"/>
    <n v="10"/>
    <x v="5"/>
    <n v="5"/>
    <s v="Dr. Patel"/>
    <n v="45399"/>
    <x v="4"/>
    <x v="1"/>
    <x v="1"/>
    <d v="2023-05-13T00:00:00"/>
    <d v="2023-05-14T10:00:00"/>
    <x v="2"/>
    <x v="0"/>
    <s v="Afternoon"/>
    <n v="10"/>
    <n v="10"/>
    <s v="Plan A"/>
  </r>
  <r>
    <s v="PAT5274"/>
    <n v="38"/>
    <x v="4"/>
    <x v="5"/>
    <d v="2023-12-24T00:00:00"/>
    <d v="2024-04-01T00:00:00"/>
    <n v="11"/>
    <x v="0"/>
    <n v="1"/>
    <s v="Dr. Gupta"/>
    <n v="44994"/>
    <x v="3"/>
    <x v="1"/>
    <x v="0"/>
    <d v="2023-12-22T00:00:00"/>
    <d v="2023-12-23T07:00:00"/>
    <x v="1"/>
    <x v="0"/>
    <s v="Night"/>
    <n v="9"/>
    <n v="8"/>
    <s v="Plan C"/>
  </r>
  <r>
    <s v="PAT5275"/>
    <n v="84"/>
    <x v="2"/>
    <x v="2"/>
    <d v="2023-12-03T00:00:00"/>
    <d v="2023-03-23T00:00:00"/>
    <n v="11"/>
    <x v="4"/>
    <n v="3"/>
    <s v="Dr. Rao"/>
    <n v="42876"/>
    <x v="4"/>
    <x v="0"/>
    <x v="1"/>
    <d v="2023-10-03T00:00:00"/>
    <d v="2023-10-03T23:00:00"/>
    <x v="0"/>
    <x v="0"/>
    <s v="Night"/>
    <n v="6"/>
    <n v="12"/>
    <s v="Plan A"/>
  </r>
  <r>
    <s v="PAT5276"/>
    <n v="89"/>
    <x v="2"/>
    <x v="0"/>
    <d v="2023-08-09T00:00:00"/>
    <d v="2023-09-17T00:00:00"/>
    <n v="9"/>
    <x v="0"/>
    <n v="5"/>
    <s v="Dr. Patel"/>
    <n v="39878"/>
    <x v="0"/>
    <x v="0"/>
    <x v="1"/>
    <d v="2023-04-09T00:00:00"/>
    <d v="2023-05-09T07:00:00"/>
    <x v="2"/>
    <x v="0"/>
    <s v="Morning"/>
    <n v="10"/>
    <n v="10"/>
    <s v="Plan B"/>
  </r>
  <r>
    <s v="PAT5277"/>
    <n v="25"/>
    <x v="3"/>
    <x v="4"/>
    <d v="2024-01-14T00:00:00"/>
    <d v="2024-01-15T00:00:00"/>
    <n v="1"/>
    <x v="1"/>
    <n v="4"/>
    <s v="Dr. Mehta"/>
    <n v="38725"/>
    <x v="0"/>
    <x v="0"/>
    <x v="0"/>
    <d v="2024-12-01T00:00:00"/>
    <d v="2024-12-01T07:00:00"/>
    <x v="1"/>
    <x v="0"/>
    <s v="Night"/>
    <n v="8"/>
    <n v="8"/>
    <s v="Plan A"/>
  </r>
  <r>
    <s v="PAT5278"/>
    <n v="18"/>
    <x v="3"/>
    <x v="1"/>
    <d v="2023-10-19T00:00:00"/>
    <d v="2023-10-29T00:00:00"/>
    <n v="10"/>
    <x v="3"/>
    <n v="5"/>
    <s v="Dr. Mehta"/>
    <n v="12146"/>
    <x v="1"/>
    <x v="1"/>
    <x v="0"/>
    <d v="2023-10-18T00:00:00"/>
    <d v="2023-10-19T05:00:00"/>
    <x v="4"/>
    <x v="0"/>
    <s v="Morning"/>
    <n v="6"/>
    <n v="8"/>
    <s v="Plan A"/>
  </r>
  <r>
    <s v="PAT5279"/>
    <n v="82"/>
    <x v="2"/>
    <x v="4"/>
    <d v="2023-11-06T00:00:00"/>
    <d v="2023-06-26T00:00:00"/>
    <n v="15"/>
    <x v="0"/>
    <n v="5"/>
    <s v="Dr. Rao"/>
    <n v="5560"/>
    <x v="0"/>
    <x v="0"/>
    <x v="0"/>
    <d v="2023-10-06T00:00:00"/>
    <d v="2023-11-06T23:00:00"/>
    <x v="2"/>
    <x v="0"/>
    <s v="Night"/>
    <n v="6"/>
    <n v="10"/>
    <s v="Plan B"/>
  </r>
  <r>
    <s v="PAT5280"/>
    <n v="66"/>
    <x v="2"/>
    <x v="3"/>
    <d v="2024-03-24T00:00:00"/>
    <d v="2024-04-04T00:00:00"/>
    <n v="11"/>
    <x v="2"/>
    <n v="4"/>
    <s v="Dr. Sharma"/>
    <n v="6312"/>
    <x v="4"/>
    <x v="0"/>
    <x v="0"/>
    <d v="2024-03-20T00:00:00"/>
    <d v="2024-03-21T21:00:00"/>
    <x v="1"/>
    <x v="0"/>
    <s v="Night"/>
    <n v="6"/>
    <n v="8"/>
    <s v="Plan A"/>
  </r>
  <r>
    <s v="PAT5281"/>
    <n v="54"/>
    <x v="0"/>
    <x v="1"/>
    <d v="2023-06-11T00:00:00"/>
    <d v="2023-11-20T00:00:00"/>
    <n v="14"/>
    <x v="3"/>
    <n v="5"/>
    <s v="Dr. Sharma"/>
    <n v="23205"/>
    <x v="0"/>
    <x v="1"/>
    <x v="0"/>
    <d v="2023-02-11T00:00:00"/>
    <d v="2023-03-11T05:00:00"/>
    <x v="0"/>
    <x v="0"/>
    <s v="Morning"/>
    <n v="7"/>
    <n v="12"/>
    <s v="Plan B"/>
  </r>
  <r>
    <s v="PAT5282"/>
    <n v="35"/>
    <x v="3"/>
    <x v="5"/>
    <d v="2023-09-01T00:00:00"/>
    <d v="2023-01-21T00:00:00"/>
    <n v="12"/>
    <x v="1"/>
    <n v="3"/>
    <s v="Dr. Sharma"/>
    <n v="16595"/>
    <x v="2"/>
    <x v="1"/>
    <x v="0"/>
    <d v="2023-06-01T00:00:00"/>
    <d v="2023-06-01T21:00:00"/>
    <x v="1"/>
    <x v="0"/>
    <s v="Night"/>
    <n v="5"/>
    <n v="8"/>
    <s v="Plan B"/>
  </r>
  <r>
    <s v="PAT5283"/>
    <n v="80"/>
    <x v="2"/>
    <x v="2"/>
    <d v="2023-03-11T00:00:00"/>
    <d v="2023-08-11T00:00:00"/>
    <n v="5"/>
    <x v="0"/>
    <n v="2"/>
    <s v="Dr. Mehta"/>
    <n v="27030"/>
    <x v="0"/>
    <x v="1"/>
    <x v="1"/>
    <d v="2023-10-30T00:00:00"/>
    <d v="2023-10-30T05:00:00"/>
    <x v="4"/>
    <x v="0"/>
    <s v="Night"/>
    <n v="5"/>
    <n v="10"/>
    <s v="Plan A"/>
  </r>
  <r>
    <s v="PAT5284"/>
    <n v="61"/>
    <x v="0"/>
    <x v="5"/>
    <d v="2023-04-17T00:00:00"/>
    <d v="2023-04-18T00:00:00"/>
    <n v="1"/>
    <x v="4"/>
    <n v="5"/>
    <s v="Dr. Sharma"/>
    <n v="26329"/>
    <x v="3"/>
    <x v="0"/>
    <x v="0"/>
    <d v="2023-04-17T00:00:00"/>
    <d v="2023-04-17T20:00:00"/>
    <x v="2"/>
    <x v="0"/>
    <s v="Morning"/>
    <n v="4"/>
    <n v="12"/>
    <s v="Plan C"/>
  </r>
  <r>
    <s v="PAT5285"/>
    <n v="41"/>
    <x v="4"/>
    <x v="0"/>
    <d v="2023-05-18T00:00:00"/>
    <d v="2023-05-21T00:00:00"/>
    <n v="3"/>
    <x v="1"/>
    <n v="3"/>
    <s v="Dr. Gupta"/>
    <n v="43142"/>
    <x v="2"/>
    <x v="1"/>
    <x v="0"/>
    <d v="2023-05-18T00:00:00"/>
    <d v="2023-05-18T03:00:00"/>
    <x v="2"/>
    <x v="0"/>
    <s v="Afternoon"/>
    <n v="11"/>
    <n v="8"/>
    <s v="Plan C"/>
  </r>
  <r>
    <s v="PAT5286"/>
    <n v="33"/>
    <x v="3"/>
    <x v="4"/>
    <d v="2023-09-28T00:00:00"/>
    <d v="2023-03-10T00:00:00"/>
    <n v="5"/>
    <x v="2"/>
    <n v="2"/>
    <s v="Dr. Patel"/>
    <n v="7651"/>
    <x v="1"/>
    <x v="0"/>
    <x v="0"/>
    <d v="2023-09-28T00:00:00"/>
    <d v="2023-09-29T22:00:00"/>
    <x v="2"/>
    <x v="0"/>
    <s v="Morning"/>
    <n v="11"/>
    <n v="8"/>
    <s v="Plan B"/>
  </r>
  <r>
    <s v="PAT5287"/>
    <n v="68"/>
    <x v="2"/>
    <x v="3"/>
    <d v="2023-04-29T00:00:00"/>
    <d v="2023-11-05T00:00:00"/>
    <n v="12"/>
    <x v="0"/>
    <n v="2"/>
    <s v="Dr. Mehta"/>
    <n v="15006"/>
    <x v="3"/>
    <x v="1"/>
    <x v="1"/>
    <d v="2023-04-28T00:00:00"/>
    <d v="2023-04-28T08:00:00"/>
    <x v="4"/>
    <x v="0"/>
    <s v="Night"/>
    <n v="6"/>
    <n v="12"/>
    <s v="Plan C"/>
  </r>
  <r>
    <s v="PAT5288"/>
    <n v="33"/>
    <x v="3"/>
    <x v="1"/>
    <d v="2023-04-20T00:00:00"/>
    <d v="2023-03-05T00:00:00"/>
    <n v="13"/>
    <x v="5"/>
    <n v="5"/>
    <s v="Dr. Rao"/>
    <n v="47701"/>
    <x v="4"/>
    <x v="0"/>
    <x v="0"/>
    <d v="2023-04-15T00:00:00"/>
    <d v="2023-04-15T02:00:00"/>
    <x v="0"/>
    <x v="0"/>
    <s v="Afternoon"/>
    <n v="5"/>
    <n v="12"/>
    <s v="Plan C"/>
  </r>
  <r>
    <s v="PAT5289"/>
    <n v="14"/>
    <x v="1"/>
    <x v="1"/>
    <d v="2023-09-06T00:00:00"/>
    <d v="2023-06-14T00:00:00"/>
    <n v="5"/>
    <x v="3"/>
    <n v="3"/>
    <s v="Dr. Rao"/>
    <n v="40645"/>
    <x v="4"/>
    <x v="1"/>
    <x v="1"/>
    <d v="2023-07-06T00:00:00"/>
    <d v="2023-07-06T22:00:00"/>
    <x v="2"/>
    <x v="0"/>
    <s v="Afternoon"/>
    <n v="4"/>
    <n v="8"/>
    <s v="Plan A"/>
  </r>
  <r>
    <s v="PAT5290"/>
    <n v="21"/>
    <x v="3"/>
    <x v="4"/>
    <d v="2023-06-10T00:00:00"/>
    <d v="2023-10-21T00:00:00"/>
    <n v="15"/>
    <x v="4"/>
    <n v="5"/>
    <s v="Dr. Patel"/>
    <n v="26966"/>
    <x v="4"/>
    <x v="0"/>
    <x v="1"/>
    <d v="2023-03-10T00:00:00"/>
    <d v="2023-04-10T18:00:00"/>
    <x v="0"/>
    <x v="0"/>
    <s v="Afternoon"/>
    <n v="7"/>
    <n v="12"/>
    <s v="Plan B"/>
  </r>
  <r>
    <s v="PAT5291"/>
    <n v="48"/>
    <x v="4"/>
    <x v="3"/>
    <d v="2023-10-16T00:00:00"/>
    <d v="2023-10-22T00:00:00"/>
    <n v="6"/>
    <x v="5"/>
    <n v="4"/>
    <s v="Dr. Mehta"/>
    <n v="32846"/>
    <x v="3"/>
    <x v="1"/>
    <x v="0"/>
    <d v="2023-12-10T00:00:00"/>
    <d v="2023-12-10T07:00:00"/>
    <x v="1"/>
    <x v="1"/>
    <s v="Morning"/>
    <n v="6"/>
    <n v="10"/>
    <s v="Plan B"/>
  </r>
  <r>
    <s v="PAT5292"/>
    <n v="20"/>
    <x v="3"/>
    <x v="4"/>
    <d v="2023-04-08T00:00:00"/>
    <d v="2023-10-08T00:00:00"/>
    <n v="6"/>
    <x v="0"/>
    <n v="2"/>
    <s v="Dr. Sharma"/>
    <n v="26774"/>
    <x v="3"/>
    <x v="0"/>
    <x v="0"/>
    <d v="2023-01-08T00:00:00"/>
    <d v="2023-02-08T20:00:00"/>
    <x v="0"/>
    <x v="0"/>
    <s v="Afternoon"/>
    <n v="8"/>
    <n v="8"/>
    <s v="Plan A"/>
  </r>
  <r>
    <s v="PAT5293"/>
    <n v="8"/>
    <x v="1"/>
    <x v="0"/>
    <d v="2023-12-18T00:00:00"/>
    <d v="2023-12-19T00:00:00"/>
    <n v="1"/>
    <x v="0"/>
    <n v="5"/>
    <s v="Dr. Sharma"/>
    <n v="9083"/>
    <x v="3"/>
    <x v="1"/>
    <x v="0"/>
    <d v="2023-12-17T00:00:00"/>
    <d v="2023-12-17T11:00:00"/>
    <x v="0"/>
    <x v="0"/>
    <s v="Afternoon"/>
    <n v="7"/>
    <n v="10"/>
    <s v="Plan C"/>
  </r>
  <r>
    <s v="PAT5294"/>
    <n v="7"/>
    <x v="1"/>
    <x v="5"/>
    <d v="2023-07-28T00:00:00"/>
    <d v="2023-07-31T00:00:00"/>
    <n v="3"/>
    <x v="1"/>
    <n v="2"/>
    <s v="Dr. Gupta"/>
    <n v="38513"/>
    <x v="2"/>
    <x v="1"/>
    <x v="0"/>
    <d v="2023-07-24T00:00:00"/>
    <d v="2023-07-26T00:00:00"/>
    <x v="2"/>
    <x v="0"/>
    <s v="Afternoon"/>
    <n v="4"/>
    <n v="8"/>
    <s v="Plan B"/>
  </r>
  <r>
    <s v="PAT5295"/>
    <n v="67"/>
    <x v="2"/>
    <x v="1"/>
    <d v="2023-09-28T00:00:00"/>
    <d v="2023-12-10T00:00:00"/>
    <n v="14"/>
    <x v="0"/>
    <n v="3"/>
    <s v="Dr. Gupta"/>
    <n v="13749"/>
    <x v="2"/>
    <x v="1"/>
    <x v="0"/>
    <d v="2023-09-24T00:00:00"/>
    <d v="2023-09-24T16:00:00"/>
    <x v="3"/>
    <x v="0"/>
    <s v="Night"/>
    <n v="7"/>
    <n v="10"/>
    <s v="Plan C"/>
  </r>
  <r>
    <s v="PAT5296"/>
    <n v="17"/>
    <x v="1"/>
    <x v="0"/>
    <d v="2024-01-06T00:00:00"/>
    <d v="2024-04-06T00:00:00"/>
    <n v="3"/>
    <x v="4"/>
    <n v="1"/>
    <s v="Dr. Sharma"/>
    <n v="35783"/>
    <x v="4"/>
    <x v="1"/>
    <x v="0"/>
    <d v="2024-05-31T00:00:00"/>
    <d v="2024-01-06T10:00:00"/>
    <x v="3"/>
    <x v="0"/>
    <s v="Morning"/>
    <n v="8"/>
    <n v="10"/>
    <s v="Plan B"/>
  </r>
  <r>
    <s v="PAT5297"/>
    <n v="33"/>
    <x v="3"/>
    <x v="5"/>
    <d v="2024-05-15T00:00:00"/>
    <d v="2024-05-25T00:00:00"/>
    <n v="10"/>
    <x v="5"/>
    <n v="5"/>
    <s v="Dr. Rao"/>
    <n v="22325"/>
    <x v="0"/>
    <x v="1"/>
    <x v="0"/>
    <d v="2024-05-13T00:00:00"/>
    <d v="2024-05-13T12:00:00"/>
    <x v="4"/>
    <x v="0"/>
    <s v="Morning"/>
    <n v="11"/>
    <n v="12"/>
    <s v="Plan B"/>
  </r>
  <r>
    <s v="PAT5298"/>
    <n v="48"/>
    <x v="4"/>
    <x v="0"/>
    <d v="2023-09-15T00:00:00"/>
    <d v="2023-09-26T00:00:00"/>
    <n v="11"/>
    <x v="4"/>
    <n v="5"/>
    <s v="Dr. Rao"/>
    <n v="23680"/>
    <x v="4"/>
    <x v="1"/>
    <x v="1"/>
    <d v="2023-11-09T00:00:00"/>
    <d v="2023-12-09T12:00:00"/>
    <x v="4"/>
    <x v="0"/>
    <s v="Night"/>
    <n v="7"/>
    <n v="8"/>
    <s v="Plan B"/>
  </r>
  <r>
    <s v="PAT5299"/>
    <n v="76"/>
    <x v="2"/>
    <x v="3"/>
    <d v="2023-02-22T00:00:00"/>
    <d v="2023-01-03T00:00:00"/>
    <n v="7"/>
    <x v="2"/>
    <n v="2"/>
    <s v="Dr. Gupta"/>
    <n v="22323"/>
    <x v="1"/>
    <x v="0"/>
    <x v="0"/>
    <d v="2023-02-20T00:00:00"/>
    <d v="2023-02-20T11:00:00"/>
    <x v="3"/>
    <x v="0"/>
    <s v="Afternoon"/>
    <n v="4"/>
    <n v="12"/>
    <s v="Plan B"/>
  </r>
  <r>
    <s v="PAT5300"/>
    <n v="59"/>
    <x v="0"/>
    <x v="1"/>
    <d v="2023-05-04T00:00:00"/>
    <d v="2023-07-04T00:00:00"/>
    <n v="2"/>
    <x v="2"/>
    <n v="3"/>
    <s v="Dr. Patel"/>
    <n v="27684"/>
    <x v="2"/>
    <x v="1"/>
    <x v="0"/>
    <d v="2023-04-04T00:00:00"/>
    <d v="2023-04-04T22:00:00"/>
    <x v="1"/>
    <x v="0"/>
    <s v="Night"/>
    <n v="11"/>
    <n v="12"/>
    <s v="Plan C"/>
  </r>
  <r>
    <s v="PAT5301"/>
    <n v="86"/>
    <x v="2"/>
    <x v="4"/>
    <d v="2024-09-03T00:00:00"/>
    <d v="2024-12-03T00:00:00"/>
    <n v="3"/>
    <x v="3"/>
    <n v="4"/>
    <s v="Dr. Sharma"/>
    <n v="39493"/>
    <x v="3"/>
    <x v="0"/>
    <x v="0"/>
    <d v="2024-06-03T00:00:00"/>
    <d v="2024-07-03T12:00:00"/>
    <x v="2"/>
    <x v="0"/>
    <s v="Night"/>
    <n v="11"/>
    <n v="8"/>
    <s v="Plan C"/>
  </r>
  <r>
    <s v="PAT5302"/>
    <n v="22"/>
    <x v="3"/>
    <x v="4"/>
    <d v="2023-11-10T00:00:00"/>
    <d v="2023-10-23T00:00:00"/>
    <n v="12"/>
    <x v="3"/>
    <n v="3"/>
    <s v="Dr. Gupta"/>
    <n v="17213"/>
    <x v="2"/>
    <x v="1"/>
    <x v="0"/>
    <d v="2023-07-10T00:00:00"/>
    <d v="2023-08-10T04:00:00"/>
    <x v="2"/>
    <x v="0"/>
    <s v="Afternoon"/>
    <n v="11"/>
    <n v="10"/>
    <s v="Plan C"/>
  </r>
  <r>
    <s v="PAT5303"/>
    <n v="30"/>
    <x v="3"/>
    <x v="5"/>
    <d v="2023-02-15T00:00:00"/>
    <d v="2023-02-26T00:00:00"/>
    <n v="11"/>
    <x v="2"/>
    <n v="5"/>
    <s v="Dr. Gupta"/>
    <n v="36831"/>
    <x v="3"/>
    <x v="1"/>
    <x v="0"/>
    <d v="2023-10-02T00:00:00"/>
    <d v="2023-11-02T06:00:00"/>
    <x v="1"/>
    <x v="0"/>
    <s v="Afternoon"/>
    <n v="8"/>
    <n v="8"/>
    <s v="Plan C"/>
  </r>
  <r>
    <s v="PAT5304"/>
    <n v="38"/>
    <x v="4"/>
    <x v="2"/>
    <d v="2023-04-01T00:00:00"/>
    <d v="2023-05-01T00:00:00"/>
    <n v="1"/>
    <x v="0"/>
    <n v="4"/>
    <s v="Dr. Sharma"/>
    <n v="47296"/>
    <x v="1"/>
    <x v="0"/>
    <x v="0"/>
    <d v="2023-02-01T00:00:00"/>
    <d v="2023-02-01T15:00:00"/>
    <x v="1"/>
    <x v="0"/>
    <s v="Morning"/>
    <n v="8"/>
    <n v="8"/>
    <s v="Plan A"/>
  </r>
  <r>
    <s v="PAT5305"/>
    <n v="51"/>
    <x v="0"/>
    <x v="3"/>
    <d v="2023-08-12T00:00:00"/>
    <d v="2023-10-12T00:00:00"/>
    <n v="2"/>
    <x v="4"/>
    <n v="3"/>
    <s v="Dr. Sharma"/>
    <n v="32713"/>
    <x v="1"/>
    <x v="1"/>
    <x v="0"/>
    <d v="2023-04-12T00:00:00"/>
    <d v="2023-05-12T02:00:00"/>
    <x v="3"/>
    <x v="0"/>
    <s v="Afternoon"/>
    <n v="11"/>
    <n v="8"/>
    <s v="Plan B"/>
  </r>
  <r>
    <s v="PAT5306"/>
    <n v="54"/>
    <x v="0"/>
    <x v="5"/>
    <d v="2023-05-14T00:00:00"/>
    <d v="2023-05-26T00:00:00"/>
    <n v="12"/>
    <x v="2"/>
    <n v="1"/>
    <s v="Dr. Rao"/>
    <n v="46621"/>
    <x v="2"/>
    <x v="0"/>
    <x v="1"/>
    <d v="2023-12-05T00:00:00"/>
    <d v="2023-05-13T17:00:00"/>
    <x v="4"/>
    <x v="0"/>
    <s v="Night"/>
    <n v="7"/>
    <n v="12"/>
    <s v="Plan B"/>
  </r>
  <r>
    <s v="PAT5307"/>
    <n v="8"/>
    <x v="1"/>
    <x v="2"/>
    <d v="2023-09-26T00:00:00"/>
    <d v="2023-05-10T00:00:00"/>
    <n v="9"/>
    <x v="3"/>
    <n v="2"/>
    <s v="Dr. Patel"/>
    <n v="12187"/>
    <x v="3"/>
    <x v="1"/>
    <x v="0"/>
    <d v="2023-09-22T00:00:00"/>
    <d v="2023-09-22T12:00:00"/>
    <x v="1"/>
    <x v="0"/>
    <s v="Night"/>
    <n v="8"/>
    <n v="8"/>
    <s v="Plan B"/>
  </r>
  <r>
    <s v="PAT5308"/>
    <n v="27"/>
    <x v="3"/>
    <x v="0"/>
    <d v="2023-06-15T00:00:00"/>
    <d v="2023-06-19T00:00:00"/>
    <n v="4"/>
    <x v="2"/>
    <n v="3"/>
    <s v="Dr. Patel"/>
    <n v="37800"/>
    <x v="1"/>
    <x v="1"/>
    <x v="0"/>
    <d v="2023-11-06T00:00:00"/>
    <d v="2023-11-06T12:00:00"/>
    <x v="4"/>
    <x v="0"/>
    <s v="Afternoon"/>
    <n v="10"/>
    <n v="8"/>
    <s v="Plan A"/>
  </r>
  <r>
    <s v="PAT5309"/>
    <n v="27"/>
    <x v="3"/>
    <x v="3"/>
    <d v="2024-03-28T00:00:00"/>
    <d v="2024-04-04T00:00:00"/>
    <n v="7"/>
    <x v="0"/>
    <n v="3"/>
    <s v="Dr. Sharma"/>
    <n v="37583"/>
    <x v="4"/>
    <x v="0"/>
    <x v="0"/>
    <d v="2024-03-24T00:00:00"/>
    <d v="2024-03-25T17:00:00"/>
    <x v="0"/>
    <x v="0"/>
    <s v="Morning"/>
    <n v="7"/>
    <n v="8"/>
    <s v="Plan C"/>
  </r>
  <r>
    <s v="PAT5310"/>
    <n v="21"/>
    <x v="3"/>
    <x v="0"/>
    <d v="2024-03-13T00:00:00"/>
    <d v="2024-03-20T00:00:00"/>
    <n v="7"/>
    <x v="2"/>
    <n v="1"/>
    <s v="Dr. Mehta"/>
    <n v="19408"/>
    <x v="4"/>
    <x v="0"/>
    <x v="1"/>
    <d v="2024-10-03T00:00:00"/>
    <d v="2024-11-03T19:00:00"/>
    <x v="2"/>
    <x v="0"/>
    <s v="Night"/>
    <n v="6"/>
    <n v="10"/>
    <s v="Plan B"/>
  </r>
  <r>
    <s v="PAT5311"/>
    <n v="30"/>
    <x v="3"/>
    <x v="1"/>
    <d v="2023-10-01T00:00:00"/>
    <d v="2023-01-18T00:00:00"/>
    <n v="8"/>
    <x v="4"/>
    <n v="5"/>
    <s v="Dr. Gupta"/>
    <n v="27369"/>
    <x v="3"/>
    <x v="1"/>
    <x v="0"/>
    <d v="2023-05-01T00:00:00"/>
    <d v="2023-06-01T04:00:00"/>
    <x v="3"/>
    <x v="0"/>
    <s v="Afternoon"/>
    <n v="8"/>
    <n v="10"/>
    <s v="Plan C"/>
  </r>
  <r>
    <s v="PAT5312"/>
    <n v="28"/>
    <x v="3"/>
    <x v="3"/>
    <d v="2023-04-25T00:00:00"/>
    <d v="2023-01-05T00:00:00"/>
    <n v="6"/>
    <x v="5"/>
    <n v="2"/>
    <s v="Dr. Gupta"/>
    <n v="8414"/>
    <x v="2"/>
    <x v="1"/>
    <x v="0"/>
    <d v="2023-04-21T00:00:00"/>
    <d v="2023-04-22T02:00:00"/>
    <x v="2"/>
    <x v="0"/>
    <s v="Morning"/>
    <n v="7"/>
    <n v="10"/>
    <s v="Plan C"/>
  </r>
  <r>
    <s v="PAT5313"/>
    <n v="64"/>
    <x v="0"/>
    <x v="2"/>
    <d v="2023-03-19T00:00:00"/>
    <d v="2023-03-22T00:00:00"/>
    <n v="3"/>
    <x v="0"/>
    <n v="3"/>
    <s v="Dr. Sharma"/>
    <n v="24510"/>
    <x v="1"/>
    <x v="0"/>
    <x v="0"/>
    <d v="2023-03-17T00:00:00"/>
    <d v="2023-03-17T02:00:00"/>
    <x v="3"/>
    <x v="0"/>
    <s v="Morning"/>
    <n v="6"/>
    <n v="10"/>
    <s v="Plan A"/>
  </r>
  <r>
    <s v="PAT5314"/>
    <n v="69"/>
    <x v="2"/>
    <x v="1"/>
    <d v="2023-02-06T00:00:00"/>
    <d v="2023-08-06T00:00:00"/>
    <n v="6"/>
    <x v="3"/>
    <n v="4"/>
    <s v="Dr. Mehta"/>
    <n v="17120"/>
    <x v="2"/>
    <x v="1"/>
    <x v="0"/>
    <d v="2023-05-30T00:00:00"/>
    <d v="2023-01-06T00:00:00"/>
    <x v="0"/>
    <x v="0"/>
    <s v="Night"/>
    <n v="8"/>
    <n v="12"/>
    <s v="Plan A"/>
  </r>
  <r>
    <s v="PAT5315"/>
    <n v="61"/>
    <x v="0"/>
    <x v="4"/>
    <d v="2023-06-02T00:00:00"/>
    <d v="2023-11-02T00:00:00"/>
    <n v="5"/>
    <x v="4"/>
    <n v="3"/>
    <s v="Dr. Rao"/>
    <n v="39311"/>
    <x v="4"/>
    <x v="0"/>
    <x v="0"/>
    <d v="2023-06-02T00:00:00"/>
    <d v="2023-07-02T16:00:00"/>
    <x v="2"/>
    <x v="0"/>
    <s v="Night"/>
    <n v="6"/>
    <n v="12"/>
    <s v="Plan C"/>
  </r>
  <r>
    <s v="PAT5316"/>
    <n v="48"/>
    <x v="4"/>
    <x v="2"/>
    <d v="2024-01-14T00:00:00"/>
    <d v="2024-01-26T00:00:00"/>
    <n v="12"/>
    <x v="2"/>
    <n v="2"/>
    <s v="Dr. Sharma"/>
    <n v="38039"/>
    <x v="1"/>
    <x v="1"/>
    <x v="0"/>
    <d v="2024-12-01T00:00:00"/>
    <d v="2024-12-01T13:00:00"/>
    <x v="0"/>
    <x v="0"/>
    <s v="Morning"/>
    <n v="9"/>
    <n v="8"/>
    <s v="Plan B"/>
  </r>
  <r>
    <s v="PAT5317"/>
    <n v="19"/>
    <x v="3"/>
    <x v="5"/>
    <d v="2023-01-06T00:00:00"/>
    <d v="2023-07-06T00:00:00"/>
    <n v="6"/>
    <x v="2"/>
    <n v="3"/>
    <s v="Dr. Sharma"/>
    <n v="10295"/>
    <x v="2"/>
    <x v="1"/>
    <x v="0"/>
    <d v="2023-05-30T00:00:00"/>
    <d v="2023-05-31T05:00:00"/>
    <x v="3"/>
    <x v="0"/>
    <s v="Morning"/>
    <n v="8"/>
    <n v="12"/>
    <s v="Plan B"/>
  </r>
  <r>
    <s v="PAT5318"/>
    <n v="4"/>
    <x v="1"/>
    <x v="4"/>
    <d v="2024-03-16T00:00:00"/>
    <d v="2024-03-29T00:00:00"/>
    <n v="13"/>
    <x v="5"/>
    <n v="1"/>
    <s v="Dr. Gupta"/>
    <n v="25460"/>
    <x v="0"/>
    <x v="0"/>
    <x v="0"/>
    <d v="2024-11-03T00:00:00"/>
    <d v="2024-12-03T14:00:00"/>
    <x v="1"/>
    <x v="0"/>
    <s v="Morning"/>
    <n v="9"/>
    <n v="10"/>
    <s v="Plan A"/>
  </r>
  <r>
    <s v="PAT5319"/>
    <n v="35"/>
    <x v="3"/>
    <x v="4"/>
    <d v="2023-11-05T00:00:00"/>
    <d v="2023-05-21T00:00:00"/>
    <n v="10"/>
    <x v="3"/>
    <n v="3"/>
    <s v="Dr. Sharma"/>
    <n v="19963"/>
    <x v="3"/>
    <x v="1"/>
    <x v="1"/>
    <d v="2023-11-05T00:00:00"/>
    <d v="2023-12-05T04:00:00"/>
    <x v="2"/>
    <x v="1"/>
    <s v="Afternoon"/>
    <n v="4"/>
    <n v="8"/>
    <s v="Plan A"/>
  </r>
  <r>
    <s v="PAT5320"/>
    <n v="64"/>
    <x v="0"/>
    <x v="5"/>
    <d v="2023-12-02T00:00:00"/>
    <d v="2023-02-22T00:00:00"/>
    <n v="10"/>
    <x v="3"/>
    <n v="3"/>
    <s v="Dr. Sharma"/>
    <n v="16580"/>
    <x v="3"/>
    <x v="1"/>
    <x v="0"/>
    <d v="2023-09-02T00:00:00"/>
    <d v="2023-10-02T01:00:00"/>
    <x v="0"/>
    <x v="0"/>
    <s v="Night"/>
    <n v="4"/>
    <n v="8"/>
    <s v="Plan A"/>
  </r>
  <r>
    <s v="PAT5321"/>
    <n v="49"/>
    <x v="4"/>
    <x v="3"/>
    <d v="2023-12-11T00:00:00"/>
    <d v="2023-11-14T00:00:00"/>
    <n v="2"/>
    <x v="1"/>
    <n v="4"/>
    <s v="Dr. Sharma"/>
    <n v="27286"/>
    <x v="0"/>
    <x v="0"/>
    <x v="0"/>
    <d v="2023-08-11T00:00:00"/>
    <d v="2023-08-11T01:00:00"/>
    <x v="2"/>
    <x v="1"/>
    <s v="Morning"/>
    <n v="7"/>
    <n v="10"/>
    <s v="Plan A"/>
  </r>
  <r>
    <s v="PAT5322"/>
    <n v="17"/>
    <x v="1"/>
    <x v="4"/>
    <d v="2024-09-01T00:00:00"/>
    <d v="2024-01-24T00:00:00"/>
    <n v="15"/>
    <x v="3"/>
    <n v="1"/>
    <s v="Dr. Gupta"/>
    <n v="32328"/>
    <x v="4"/>
    <x v="1"/>
    <x v="0"/>
    <d v="2024-07-01T00:00:00"/>
    <d v="2024-08-01T22:00:00"/>
    <x v="2"/>
    <x v="0"/>
    <s v="Night"/>
    <n v="5"/>
    <n v="10"/>
    <s v="Plan A"/>
  </r>
  <r>
    <s v="PAT5323"/>
    <n v="44"/>
    <x v="4"/>
    <x v="2"/>
    <d v="2023-10-02T00:00:00"/>
    <d v="2023-11-02T00:00:00"/>
    <n v="1"/>
    <x v="5"/>
    <n v="1"/>
    <s v="Dr. Rao"/>
    <n v="24093"/>
    <x v="1"/>
    <x v="1"/>
    <x v="1"/>
    <d v="2023-05-02T00:00:00"/>
    <d v="2023-05-02T14:00:00"/>
    <x v="2"/>
    <x v="0"/>
    <s v="Night"/>
    <n v="9"/>
    <n v="10"/>
    <s v="Plan A"/>
  </r>
  <r>
    <s v="PAT5324"/>
    <n v="30"/>
    <x v="3"/>
    <x v="1"/>
    <d v="2024-02-01T00:00:00"/>
    <d v="2024-05-01T00:00:00"/>
    <n v="3"/>
    <x v="1"/>
    <n v="3"/>
    <s v="Dr. Rao"/>
    <n v="26605"/>
    <x v="3"/>
    <x v="1"/>
    <x v="0"/>
    <d v="2023-12-28T00:00:00"/>
    <d v="2023-12-28T14:00:00"/>
    <x v="4"/>
    <x v="1"/>
    <s v="Night"/>
    <n v="9"/>
    <n v="12"/>
    <s v="Plan A"/>
  </r>
  <r>
    <s v="PAT5325"/>
    <n v="46"/>
    <x v="4"/>
    <x v="4"/>
    <d v="2023-04-08T00:00:00"/>
    <d v="2023-07-08T00:00:00"/>
    <n v="3"/>
    <x v="1"/>
    <n v="4"/>
    <s v="Dr. Sharma"/>
    <n v="49813"/>
    <x v="0"/>
    <x v="1"/>
    <x v="1"/>
    <d v="2023-07-30T00:00:00"/>
    <d v="2023-07-30T18:00:00"/>
    <x v="0"/>
    <x v="0"/>
    <s v="Morning"/>
    <n v="4"/>
    <n v="8"/>
    <s v="Plan B"/>
  </r>
  <r>
    <s v="PAT5326"/>
    <n v="6"/>
    <x v="1"/>
    <x v="2"/>
    <d v="2023-09-13T00:00:00"/>
    <d v="2023-09-26T00:00:00"/>
    <n v="13"/>
    <x v="2"/>
    <n v="3"/>
    <s v="Dr. Gupta"/>
    <n v="47705"/>
    <x v="0"/>
    <x v="1"/>
    <x v="1"/>
    <d v="2023-09-13T00:00:00"/>
    <d v="2023-09-14T22:00:00"/>
    <x v="0"/>
    <x v="0"/>
    <s v="Afternoon"/>
    <n v="9"/>
    <n v="10"/>
    <s v="Plan A"/>
  </r>
  <r>
    <s v="PAT5327"/>
    <n v="37"/>
    <x v="4"/>
    <x v="0"/>
    <d v="2023-04-16T00:00:00"/>
    <d v="2023-04-26T00:00:00"/>
    <n v="10"/>
    <x v="2"/>
    <n v="3"/>
    <s v="Dr. Rao"/>
    <n v="11722"/>
    <x v="4"/>
    <x v="1"/>
    <x v="0"/>
    <d v="2023-12-04T00:00:00"/>
    <d v="2023-12-04T05:00:00"/>
    <x v="2"/>
    <x v="0"/>
    <s v="Morning"/>
    <n v="5"/>
    <n v="8"/>
    <s v="Plan A"/>
  </r>
  <r>
    <s v="PAT5328"/>
    <n v="24"/>
    <x v="3"/>
    <x v="2"/>
    <d v="2023-12-29T00:00:00"/>
    <d v="2023-12-30T00:00:00"/>
    <n v="1"/>
    <x v="3"/>
    <n v="2"/>
    <s v="Dr. Rao"/>
    <n v="45969"/>
    <x v="4"/>
    <x v="1"/>
    <x v="0"/>
    <d v="2023-12-26T00:00:00"/>
    <d v="2023-12-27T13:00:00"/>
    <x v="1"/>
    <x v="0"/>
    <s v="Night"/>
    <n v="11"/>
    <n v="8"/>
    <s v="Plan B"/>
  </r>
  <r>
    <s v="PAT5329"/>
    <n v="46"/>
    <x v="4"/>
    <x v="1"/>
    <d v="2024-02-21T00:00:00"/>
    <d v="2024-03-03T00:00:00"/>
    <n v="11"/>
    <x v="1"/>
    <n v="2"/>
    <s v="Dr. Rao"/>
    <n v="41912"/>
    <x v="2"/>
    <x v="1"/>
    <x v="0"/>
    <d v="2024-02-19T00:00:00"/>
    <d v="2024-02-19T07:00:00"/>
    <x v="2"/>
    <x v="0"/>
    <s v="Morning"/>
    <n v="6"/>
    <n v="12"/>
    <s v="Plan B"/>
  </r>
  <r>
    <s v="PAT5330"/>
    <n v="53"/>
    <x v="0"/>
    <x v="2"/>
    <d v="2023-08-06T00:00:00"/>
    <d v="2023-10-06T00:00:00"/>
    <n v="2"/>
    <x v="2"/>
    <n v="4"/>
    <s v="Dr. Gupta"/>
    <n v="43374"/>
    <x v="3"/>
    <x v="0"/>
    <x v="0"/>
    <d v="2023-03-06T00:00:00"/>
    <d v="2023-04-06T11:00:00"/>
    <x v="4"/>
    <x v="0"/>
    <s v="Morning"/>
    <n v="6"/>
    <n v="8"/>
    <s v="Plan C"/>
  </r>
  <r>
    <s v="PAT5331"/>
    <n v="60"/>
    <x v="0"/>
    <x v="5"/>
    <d v="2023-08-31T00:00:00"/>
    <d v="2023-05-09T00:00:00"/>
    <n v="5"/>
    <x v="5"/>
    <n v="5"/>
    <s v="Dr. Gupta"/>
    <n v="11766"/>
    <x v="2"/>
    <x v="1"/>
    <x v="1"/>
    <d v="2023-08-27T00:00:00"/>
    <d v="2023-08-27T12:00:00"/>
    <x v="3"/>
    <x v="0"/>
    <s v="Night"/>
    <n v="5"/>
    <n v="10"/>
    <s v="Plan A"/>
  </r>
  <r>
    <s v="PAT5332"/>
    <n v="63"/>
    <x v="0"/>
    <x v="1"/>
    <d v="2023-06-16T00:00:00"/>
    <d v="2023-06-24T00:00:00"/>
    <n v="8"/>
    <x v="2"/>
    <n v="2"/>
    <s v="Dr. Sharma"/>
    <n v="20928"/>
    <x v="0"/>
    <x v="1"/>
    <x v="0"/>
    <d v="2023-12-06T00:00:00"/>
    <d v="2023-06-13T00:00:00"/>
    <x v="4"/>
    <x v="0"/>
    <s v="Night"/>
    <n v="9"/>
    <n v="10"/>
    <s v="Plan A"/>
  </r>
  <r>
    <s v="PAT5333"/>
    <n v="85"/>
    <x v="2"/>
    <x v="3"/>
    <d v="2023-01-07T00:00:00"/>
    <d v="2023-12-07T00:00:00"/>
    <n v="11"/>
    <x v="0"/>
    <n v="5"/>
    <s v="Dr. Patel"/>
    <n v="26274"/>
    <x v="1"/>
    <x v="0"/>
    <x v="0"/>
    <d v="2023-06-30T00:00:00"/>
    <d v="2023-06-30T21:00:00"/>
    <x v="1"/>
    <x v="0"/>
    <s v="Morning"/>
    <n v="9"/>
    <n v="8"/>
    <s v="Plan A"/>
  </r>
  <r>
    <s v="PAT5334"/>
    <n v="32"/>
    <x v="3"/>
    <x v="0"/>
    <d v="2024-02-27T00:00:00"/>
    <d v="2024-05-03T00:00:00"/>
    <n v="7"/>
    <x v="0"/>
    <n v="1"/>
    <s v="Dr. Rao"/>
    <n v="39416"/>
    <x v="1"/>
    <x v="1"/>
    <x v="1"/>
    <d v="2024-02-22T00:00:00"/>
    <d v="2024-02-22T13:00:00"/>
    <x v="2"/>
    <x v="0"/>
    <s v="Morning"/>
    <n v="9"/>
    <n v="8"/>
    <s v="Plan A"/>
  </r>
  <r>
    <s v="PAT5335"/>
    <n v="87"/>
    <x v="2"/>
    <x v="5"/>
    <d v="2023-01-26T00:00:00"/>
    <d v="2023-03-02T00:00:00"/>
    <n v="8"/>
    <x v="2"/>
    <n v="2"/>
    <s v="Dr. Patel"/>
    <n v="25612"/>
    <x v="4"/>
    <x v="0"/>
    <x v="0"/>
    <d v="2023-01-26T00:00:00"/>
    <d v="2023-01-27T06:00:00"/>
    <x v="0"/>
    <x v="0"/>
    <s v="Morning"/>
    <n v="10"/>
    <n v="12"/>
    <s v="Plan C"/>
  </r>
  <r>
    <s v="PAT5336"/>
    <n v="33"/>
    <x v="3"/>
    <x v="3"/>
    <d v="2023-03-07T00:00:00"/>
    <d v="2023-07-13T00:00:00"/>
    <n v="10"/>
    <x v="1"/>
    <n v="2"/>
    <s v="Dr. Gupta"/>
    <n v="39898"/>
    <x v="1"/>
    <x v="1"/>
    <x v="0"/>
    <d v="2023-06-29T00:00:00"/>
    <d v="2023-06-29T08:00:00"/>
    <x v="2"/>
    <x v="0"/>
    <s v="Morning"/>
    <n v="7"/>
    <n v="10"/>
    <s v="Plan B"/>
  </r>
  <r>
    <s v="PAT5337"/>
    <n v="67"/>
    <x v="2"/>
    <x v="2"/>
    <d v="2023-07-12T00:00:00"/>
    <d v="2023-12-15T00:00:00"/>
    <n v="8"/>
    <x v="1"/>
    <n v="4"/>
    <s v="Dr. Gupta"/>
    <n v="34047"/>
    <x v="1"/>
    <x v="0"/>
    <x v="0"/>
    <d v="2023-04-12T00:00:00"/>
    <d v="2023-04-12T17:00:00"/>
    <x v="1"/>
    <x v="0"/>
    <s v="Afternoon"/>
    <n v="8"/>
    <n v="10"/>
    <s v="Plan B"/>
  </r>
  <r>
    <s v="PAT5338"/>
    <n v="18"/>
    <x v="3"/>
    <x v="1"/>
    <d v="2024-02-26T00:00:00"/>
    <d v="2024-04-03T00:00:00"/>
    <n v="7"/>
    <x v="4"/>
    <n v="5"/>
    <s v="Dr. Gupta"/>
    <n v="48356"/>
    <x v="1"/>
    <x v="0"/>
    <x v="0"/>
    <d v="2024-02-25T00:00:00"/>
    <d v="2024-02-26T19:00:00"/>
    <x v="0"/>
    <x v="0"/>
    <s v="Morning"/>
    <n v="5"/>
    <n v="8"/>
    <s v="Plan A"/>
  </r>
  <r>
    <s v="PAT5339"/>
    <n v="25"/>
    <x v="3"/>
    <x v="0"/>
    <d v="2023-12-09T00:00:00"/>
    <d v="2023-09-17T00:00:00"/>
    <n v="5"/>
    <x v="0"/>
    <n v="2"/>
    <s v="Dr. Patel"/>
    <n v="42134"/>
    <x v="0"/>
    <x v="1"/>
    <x v="0"/>
    <d v="2023-08-09T00:00:00"/>
    <d v="2023-09-09T08:00:00"/>
    <x v="4"/>
    <x v="0"/>
    <s v="Afternoon"/>
    <n v="5"/>
    <n v="8"/>
    <s v="Plan A"/>
  </r>
  <r>
    <s v="PAT5340"/>
    <n v="54"/>
    <x v="0"/>
    <x v="5"/>
    <d v="2023-01-10T00:00:00"/>
    <d v="2023-05-10T00:00:00"/>
    <n v="4"/>
    <x v="5"/>
    <n v="2"/>
    <s v="Dr. Gupta"/>
    <n v="6506"/>
    <x v="1"/>
    <x v="1"/>
    <x v="0"/>
    <d v="2023-09-26T00:00:00"/>
    <d v="2023-09-27T10:00:00"/>
    <x v="3"/>
    <x v="0"/>
    <s v="Night"/>
    <n v="10"/>
    <n v="8"/>
    <s v="Plan A"/>
  </r>
  <r>
    <s v="PAT5341"/>
    <n v="58"/>
    <x v="0"/>
    <x v="3"/>
    <d v="2023-06-13T00:00:00"/>
    <d v="2023-06-26T00:00:00"/>
    <n v="13"/>
    <x v="1"/>
    <n v="4"/>
    <s v="Dr. Sharma"/>
    <n v="20222"/>
    <x v="1"/>
    <x v="1"/>
    <x v="0"/>
    <d v="2023-08-06T00:00:00"/>
    <d v="2023-09-06T17:00:00"/>
    <x v="3"/>
    <x v="0"/>
    <s v="Afternoon"/>
    <n v="5"/>
    <n v="10"/>
    <s v="Plan C"/>
  </r>
  <r>
    <s v="PAT5342"/>
    <n v="67"/>
    <x v="2"/>
    <x v="3"/>
    <d v="2023-04-21T00:00:00"/>
    <d v="2023-04-30T00:00:00"/>
    <n v="9"/>
    <x v="3"/>
    <n v="4"/>
    <s v="Dr. Gupta"/>
    <n v="17363"/>
    <x v="1"/>
    <x v="1"/>
    <x v="1"/>
    <d v="2023-04-17T00:00:00"/>
    <d v="2023-04-17T21:00:00"/>
    <x v="2"/>
    <x v="0"/>
    <s v="Night"/>
    <n v="11"/>
    <n v="8"/>
    <s v="Plan C"/>
  </r>
  <r>
    <s v="PAT5343"/>
    <n v="46"/>
    <x v="4"/>
    <x v="0"/>
    <d v="2024-01-27T00:00:00"/>
    <d v="2024-01-29T00:00:00"/>
    <n v="2"/>
    <x v="0"/>
    <n v="5"/>
    <s v="Dr. Mehta"/>
    <n v="24613"/>
    <x v="2"/>
    <x v="1"/>
    <x v="0"/>
    <d v="2024-01-24T00:00:00"/>
    <d v="2024-01-25T15:00:00"/>
    <x v="4"/>
    <x v="1"/>
    <s v="Afternoon"/>
    <n v="11"/>
    <n v="12"/>
    <s v="Plan B"/>
  </r>
  <r>
    <s v="PAT5344"/>
    <n v="24"/>
    <x v="3"/>
    <x v="2"/>
    <d v="2023-09-02T00:00:00"/>
    <d v="2023-02-15T00:00:00"/>
    <n v="6"/>
    <x v="5"/>
    <n v="1"/>
    <s v="Dr. Patel"/>
    <n v="49563"/>
    <x v="0"/>
    <x v="0"/>
    <x v="0"/>
    <d v="2023-08-02T00:00:00"/>
    <d v="2023-09-02T01:00:00"/>
    <x v="1"/>
    <x v="0"/>
    <s v="Night"/>
    <n v="5"/>
    <n v="12"/>
    <s v="Plan A"/>
  </r>
  <r>
    <s v="PAT5345"/>
    <n v="32"/>
    <x v="3"/>
    <x v="0"/>
    <d v="2024-04-26T00:00:00"/>
    <d v="2024-03-05T00:00:00"/>
    <n v="7"/>
    <x v="5"/>
    <n v="1"/>
    <s v="Dr. Mehta"/>
    <n v="35628"/>
    <x v="4"/>
    <x v="1"/>
    <x v="0"/>
    <d v="2024-04-21T00:00:00"/>
    <d v="2024-04-22T16:00:00"/>
    <x v="3"/>
    <x v="0"/>
    <s v="Morning"/>
    <n v="10"/>
    <n v="8"/>
    <s v="Plan A"/>
  </r>
  <r>
    <s v="PAT5346"/>
    <n v="47"/>
    <x v="4"/>
    <x v="3"/>
    <d v="2023-08-16T00:00:00"/>
    <d v="2023-08-18T00:00:00"/>
    <n v="2"/>
    <x v="1"/>
    <n v="3"/>
    <s v="Dr. Gupta"/>
    <n v="47626"/>
    <x v="2"/>
    <x v="1"/>
    <x v="0"/>
    <d v="2023-08-15T00:00:00"/>
    <d v="2023-08-16T02:00:00"/>
    <x v="4"/>
    <x v="0"/>
    <s v="Afternoon"/>
    <n v="5"/>
    <n v="12"/>
    <s v="Plan A"/>
  </r>
  <r>
    <s v="PAT5347"/>
    <n v="86"/>
    <x v="2"/>
    <x v="4"/>
    <d v="2023-07-24T00:00:00"/>
    <d v="2023-07-29T00:00:00"/>
    <n v="5"/>
    <x v="5"/>
    <n v="2"/>
    <s v="Dr. Sharma"/>
    <n v="9136"/>
    <x v="3"/>
    <x v="0"/>
    <x v="0"/>
    <d v="2023-07-24T00:00:00"/>
    <d v="2023-07-25T14:00:00"/>
    <x v="2"/>
    <x v="0"/>
    <s v="Afternoon"/>
    <n v="9"/>
    <n v="12"/>
    <s v="Plan A"/>
  </r>
  <r>
    <s v="PAT5348"/>
    <n v="23"/>
    <x v="3"/>
    <x v="5"/>
    <d v="2024-04-16T00:00:00"/>
    <d v="2024-04-27T00:00:00"/>
    <n v="11"/>
    <x v="1"/>
    <n v="5"/>
    <s v="Dr. Rao"/>
    <n v="16161"/>
    <x v="0"/>
    <x v="1"/>
    <x v="0"/>
    <d v="2024-12-04T00:00:00"/>
    <d v="2024-12-04T08:00:00"/>
    <x v="0"/>
    <x v="0"/>
    <s v="Night"/>
    <n v="10"/>
    <n v="12"/>
    <s v="Plan C"/>
  </r>
  <r>
    <s v="PAT5349"/>
    <n v="66"/>
    <x v="2"/>
    <x v="0"/>
    <d v="2023-12-25T00:00:00"/>
    <d v="2024-05-01T00:00:00"/>
    <n v="11"/>
    <x v="2"/>
    <n v="2"/>
    <s v="Dr. Gupta"/>
    <n v="40457"/>
    <x v="0"/>
    <x v="0"/>
    <x v="1"/>
    <d v="2023-12-20T00:00:00"/>
    <d v="2023-12-20T23:00:00"/>
    <x v="2"/>
    <x v="0"/>
    <s v="Night"/>
    <n v="7"/>
    <n v="12"/>
    <s v="Plan B"/>
  </r>
  <r>
    <s v="PAT5350"/>
    <n v="27"/>
    <x v="3"/>
    <x v="3"/>
    <d v="2023-09-11T00:00:00"/>
    <d v="2023-11-19T00:00:00"/>
    <n v="10"/>
    <x v="0"/>
    <n v="5"/>
    <s v="Dr. Sharma"/>
    <n v="28574"/>
    <x v="3"/>
    <x v="0"/>
    <x v="0"/>
    <d v="2023-09-11T00:00:00"/>
    <d v="2023-09-11T23:00:00"/>
    <x v="2"/>
    <x v="0"/>
    <s v="Afternoon"/>
    <n v="4"/>
    <n v="12"/>
    <s v="Plan B"/>
  </r>
  <r>
    <s v="PAT5351"/>
    <n v="2"/>
    <x v="1"/>
    <x v="2"/>
    <d v="2023-08-22T00:00:00"/>
    <d v="2023-08-30T00:00:00"/>
    <n v="8"/>
    <x v="4"/>
    <n v="5"/>
    <s v="Dr. Patel"/>
    <n v="31902"/>
    <x v="3"/>
    <x v="1"/>
    <x v="0"/>
    <d v="2023-08-21T00:00:00"/>
    <d v="2023-08-22T06:00:00"/>
    <x v="4"/>
    <x v="0"/>
    <s v="Night"/>
    <n v="9"/>
    <n v="10"/>
    <s v="Plan C"/>
  </r>
  <r>
    <s v="PAT5352"/>
    <n v="17"/>
    <x v="1"/>
    <x v="3"/>
    <d v="2023-08-17T00:00:00"/>
    <d v="2023-08-26T00:00:00"/>
    <n v="9"/>
    <x v="2"/>
    <n v="5"/>
    <s v="Dr. Mehta"/>
    <n v="7810"/>
    <x v="3"/>
    <x v="1"/>
    <x v="1"/>
    <d v="2023-08-17T00:00:00"/>
    <d v="2023-08-18T16:00:00"/>
    <x v="3"/>
    <x v="0"/>
    <s v="Morning"/>
    <n v="11"/>
    <n v="8"/>
    <s v="Plan A"/>
  </r>
  <r>
    <s v="PAT5353"/>
    <n v="33"/>
    <x v="3"/>
    <x v="2"/>
    <d v="2023-01-25T00:00:00"/>
    <d v="2023-05-02T00:00:00"/>
    <n v="11"/>
    <x v="0"/>
    <n v="2"/>
    <s v="Dr. Mehta"/>
    <n v="16663"/>
    <x v="4"/>
    <x v="1"/>
    <x v="0"/>
    <d v="2023-01-22T00:00:00"/>
    <d v="2023-01-22T12:00:00"/>
    <x v="4"/>
    <x v="0"/>
    <s v="Afternoon"/>
    <n v="9"/>
    <n v="12"/>
    <s v="Plan B"/>
  </r>
  <r>
    <s v="PAT5354"/>
    <n v="9"/>
    <x v="1"/>
    <x v="0"/>
    <d v="2023-07-17T00:00:00"/>
    <d v="2023-07-22T00:00:00"/>
    <n v="5"/>
    <x v="1"/>
    <n v="4"/>
    <s v="Dr. Mehta"/>
    <n v="11152"/>
    <x v="1"/>
    <x v="0"/>
    <x v="0"/>
    <d v="2023-07-15T00:00:00"/>
    <d v="2023-07-16T20:00:00"/>
    <x v="0"/>
    <x v="0"/>
    <s v="Morning"/>
    <n v="8"/>
    <n v="8"/>
    <s v="Plan B"/>
  </r>
  <r>
    <s v="PAT5355"/>
    <n v="43"/>
    <x v="4"/>
    <x v="2"/>
    <d v="2024-02-13T00:00:00"/>
    <d v="2024-02-14T00:00:00"/>
    <n v="1"/>
    <x v="0"/>
    <n v="2"/>
    <s v="Dr. Patel"/>
    <n v="5012"/>
    <x v="0"/>
    <x v="1"/>
    <x v="0"/>
    <d v="2024-10-02T00:00:00"/>
    <d v="2024-11-02T22:00:00"/>
    <x v="4"/>
    <x v="0"/>
    <s v="Afternoon"/>
    <n v="10"/>
    <n v="12"/>
    <s v="Plan C"/>
  </r>
  <r>
    <s v="PAT5356"/>
    <n v="48"/>
    <x v="4"/>
    <x v="1"/>
    <d v="2023-03-12T00:00:00"/>
    <d v="2023-07-12T00:00:00"/>
    <n v="4"/>
    <x v="1"/>
    <n v="5"/>
    <s v="Dr. Sharma"/>
    <n v="16162"/>
    <x v="1"/>
    <x v="0"/>
    <x v="1"/>
    <d v="2023-02-12T00:00:00"/>
    <d v="2023-02-12T20:00:00"/>
    <x v="1"/>
    <x v="0"/>
    <s v="Morning"/>
    <n v="11"/>
    <n v="10"/>
    <s v="Plan A"/>
  </r>
  <r>
    <s v="PAT5357"/>
    <n v="39"/>
    <x v="4"/>
    <x v="1"/>
    <d v="2023-10-13T00:00:00"/>
    <d v="2023-10-20T00:00:00"/>
    <n v="7"/>
    <x v="2"/>
    <n v="3"/>
    <s v="Dr. Patel"/>
    <n v="27322"/>
    <x v="1"/>
    <x v="0"/>
    <x v="1"/>
    <d v="2023-10-10T00:00:00"/>
    <d v="2023-11-10T16:00:00"/>
    <x v="2"/>
    <x v="0"/>
    <s v="Afternoon"/>
    <n v="4"/>
    <n v="10"/>
    <s v="Plan B"/>
  </r>
  <r>
    <s v="PAT5358"/>
    <n v="42"/>
    <x v="4"/>
    <x v="1"/>
    <d v="2023-03-13T00:00:00"/>
    <d v="2023-03-23T00:00:00"/>
    <n v="10"/>
    <x v="3"/>
    <n v="1"/>
    <s v="Dr. Mehta"/>
    <n v="12999"/>
    <x v="3"/>
    <x v="1"/>
    <x v="0"/>
    <d v="2023-08-03T00:00:00"/>
    <d v="2023-09-03T14:00:00"/>
    <x v="3"/>
    <x v="0"/>
    <s v="Night"/>
    <n v="5"/>
    <n v="12"/>
    <s v="Plan A"/>
  </r>
  <r>
    <s v="PAT5359"/>
    <n v="26"/>
    <x v="3"/>
    <x v="4"/>
    <d v="2023-10-13T00:00:00"/>
    <d v="2023-10-14T00:00:00"/>
    <n v="1"/>
    <x v="3"/>
    <n v="5"/>
    <s v="Dr. Gupta"/>
    <n v="12219"/>
    <x v="4"/>
    <x v="0"/>
    <x v="1"/>
    <d v="2023-12-10T00:00:00"/>
    <d v="2023-12-10T06:00:00"/>
    <x v="0"/>
    <x v="0"/>
    <s v="Afternoon"/>
    <n v="4"/>
    <n v="12"/>
    <s v="Plan B"/>
  </r>
  <r>
    <s v="PAT5360"/>
    <n v="50"/>
    <x v="4"/>
    <x v="0"/>
    <d v="2023-12-26T00:00:00"/>
    <d v="2023-12-27T00:00:00"/>
    <n v="1"/>
    <x v="0"/>
    <n v="3"/>
    <s v="Dr. Rao"/>
    <n v="10328"/>
    <x v="2"/>
    <x v="1"/>
    <x v="0"/>
    <d v="2023-12-23T00:00:00"/>
    <d v="2023-12-24T20:00:00"/>
    <x v="2"/>
    <x v="0"/>
    <s v="Morning"/>
    <n v="7"/>
    <n v="12"/>
    <s v="Plan C"/>
  </r>
  <r>
    <s v="PAT5361"/>
    <n v="25"/>
    <x v="3"/>
    <x v="3"/>
    <d v="2024-05-06T00:00:00"/>
    <d v="2024-09-06T00:00:00"/>
    <n v="4"/>
    <x v="3"/>
    <n v="4"/>
    <s v="Dr. Patel"/>
    <n v="8621"/>
    <x v="4"/>
    <x v="0"/>
    <x v="0"/>
    <d v="2024-01-06T00:00:00"/>
    <d v="2024-01-06T09:00:00"/>
    <x v="4"/>
    <x v="0"/>
    <s v="Afternoon"/>
    <n v="6"/>
    <n v="10"/>
    <s v="Plan A"/>
  </r>
  <r>
    <s v="PAT5362"/>
    <n v="24"/>
    <x v="3"/>
    <x v="3"/>
    <d v="2024-02-14T00:00:00"/>
    <d v="2024-02-19T00:00:00"/>
    <n v="5"/>
    <x v="1"/>
    <n v="5"/>
    <s v="Dr. Patel"/>
    <n v="29256"/>
    <x v="1"/>
    <x v="1"/>
    <x v="1"/>
    <d v="2024-10-02T00:00:00"/>
    <d v="2024-10-02T21:00:00"/>
    <x v="1"/>
    <x v="0"/>
    <s v="Morning"/>
    <n v="9"/>
    <n v="10"/>
    <s v="Plan C"/>
  </r>
  <r>
    <s v="PAT5363"/>
    <n v="13"/>
    <x v="1"/>
    <x v="4"/>
    <d v="2023-06-12T00:00:00"/>
    <d v="2023-10-12T00:00:00"/>
    <n v="4"/>
    <x v="5"/>
    <n v="3"/>
    <s v="Dr. Sharma"/>
    <n v="49433"/>
    <x v="4"/>
    <x v="1"/>
    <x v="1"/>
    <d v="2023-03-12T00:00:00"/>
    <d v="2023-03-12T08:00:00"/>
    <x v="4"/>
    <x v="1"/>
    <s v="Morning"/>
    <n v="10"/>
    <n v="8"/>
    <s v="Plan B"/>
  </r>
  <r>
    <s v="PAT5364"/>
    <n v="60"/>
    <x v="0"/>
    <x v="2"/>
    <d v="2023-01-29T00:00:00"/>
    <d v="2023-11-02T00:00:00"/>
    <n v="13"/>
    <x v="1"/>
    <n v="5"/>
    <s v="Dr. Sharma"/>
    <n v="16314"/>
    <x v="3"/>
    <x v="1"/>
    <x v="0"/>
    <d v="2023-01-24T00:00:00"/>
    <d v="2023-01-24T16:00:00"/>
    <x v="2"/>
    <x v="0"/>
    <s v="Morning"/>
    <n v="10"/>
    <n v="10"/>
    <s v="Plan C"/>
  </r>
  <r>
    <s v="PAT5365"/>
    <n v="7"/>
    <x v="1"/>
    <x v="4"/>
    <d v="2023-04-29T00:00:00"/>
    <d v="2023-02-05T00:00:00"/>
    <n v="3"/>
    <x v="5"/>
    <n v="2"/>
    <s v="Dr. Patel"/>
    <n v="5652"/>
    <x v="2"/>
    <x v="0"/>
    <x v="0"/>
    <d v="2023-04-24T00:00:00"/>
    <d v="2023-04-24T20:00:00"/>
    <x v="0"/>
    <x v="0"/>
    <s v="Night"/>
    <n v="4"/>
    <n v="12"/>
    <s v="Plan C"/>
  </r>
  <r>
    <s v="PAT5366"/>
    <n v="57"/>
    <x v="0"/>
    <x v="2"/>
    <d v="2023-09-25T00:00:00"/>
    <d v="2023-08-10T00:00:00"/>
    <n v="13"/>
    <x v="2"/>
    <n v="3"/>
    <s v="Dr. Mehta"/>
    <n v="21182"/>
    <x v="3"/>
    <x v="1"/>
    <x v="0"/>
    <d v="2023-09-25T00:00:00"/>
    <d v="2023-09-25T08:00:00"/>
    <x v="3"/>
    <x v="0"/>
    <s v="Afternoon"/>
    <n v="8"/>
    <n v="8"/>
    <s v="Plan C"/>
  </r>
  <r>
    <s v="PAT5367"/>
    <n v="36"/>
    <x v="4"/>
    <x v="2"/>
    <d v="2023-02-07T00:00:00"/>
    <d v="2023-07-07T00:00:00"/>
    <n v="5"/>
    <x v="4"/>
    <n v="2"/>
    <s v="Dr. Rao"/>
    <n v="46580"/>
    <x v="2"/>
    <x v="1"/>
    <x v="0"/>
    <d v="2023-06-27T00:00:00"/>
    <d v="2023-06-27T12:00:00"/>
    <x v="2"/>
    <x v="0"/>
    <s v="Morning"/>
    <n v="11"/>
    <n v="10"/>
    <s v="Plan B"/>
  </r>
  <r>
    <s v="PAT5368"/>
    <n v="45"/>
    <x v="4"/>
    <x v="5"/>
    <d v="2023-09-29T00:00:00"/>
    <d v="2023-04-10T00:00:00"/>
    <n v="5"/>
    <x v="5"/>
    <n v="2"/>
    <s v="Dr. Sharma"/>
    <n v="41558"/>
    <x v="1"/>
    <x v="1"/>
    <x v="0"/>
    <d v="2023-09-28T00:00:00"/>
    <d v="2023-09-29T00:00:00"/>
    <x v="0"/>
    <x v="0"/>
    <s v="Night"/>
    <n v="7"/>
    <n v="10"/>
    <s v="Plan A"/>
  </r>
  <r>
    <s v="PAT5369"/>
    <n v="20"/>
    <x v="3"/>
    <x v="3"/>
    <d v="2023-09-02T00:00:00"/>
    <d v="2023-02-15T00:00:00"/>
    <n v="6"/>
    <x v="3"/>
    <n v="3"/>
    <s v="Dr. Mehta"/>
    <n v="20659"/>
    <x v="2"/>
    <x v="1"/>
    <x v="0"/>
    <d v="2023-05-02T00:00:00"/>
    <d v="2023-06-02T21:00:00"/>
    <x v="2"/>
    <x v="0"/>
    <s v="Morning"/>
    <n v="6"/>
    <n v="12"/>
    <s v="Plan C"/>
  </r>
  <r>
    <s v="PAT5370"/>
    <n v="65"/>
    <x v="0"/>
    <x v="1"/>
    <d v="2023-04-22T00:00:00"/>
    <d v="2023-04-24T00:00:00"/>
    <n v="2"/>
    <x v="1"/>
    <n v="1"/>
    <s v="Dr. Gupta"/>
    <n v="39413"/>
    <x v="2"/>
    <x v="0"/>
    <x v="0"/>
    <d v="2023-04-21T00:00:00"/>
    <d v="2023-04-21T10:00:00"/>
    <x v="1"/>
    <x v="0"/>
    <s v="Afternoon"/>
    <n v="7"/>
    <n v="8"/>
    <s v="Plan A"/>
  </r>
  <r>
    <s v="PAT5371"/>
    <n v="8"/>
    <x v="1"/>
    <x v="2"/>
    <d v="2024-03-20T00:00:00"/>
    <d v="2024-03-21T00:00:00"/>
    <n v="1"/>
    <x v="2"/>
    <n v="3"/>
    <s v="Dr. Sharma"/>
    <n v="15435"/>
    <x v="2"/>
    <x v="0"/>
    <x v="0"/>
    <d v="2024-03-16T00:00:00"/>
    <d v="2024-03-17T09:00:00"/>
    <x v="4"/>
    <x v="0"/>
    <s v="Night"/>
    <n v="10"/>
    <n v="10"/>
    <s v="Plan B"/>
  </r>
  <r>
    <s v="PAT5372"/>
    <n v="16"/>
    <x v="1"/>
    <x v="5"/>
    <d v="2023-12-20T00:00:00"/>
    <d v="2023-12-28T00:00:00"/>
    <n v="8"/>
    <x v="3"/>
    <n v="1"/>
    <s v="Dr. Mehta"/>
    <n v="33067"/>
    <x v="4"/>
    <x v="1"/>
    <x v="0"/>
    <d v="2023-12-18T00:00:00"/>
    <d v="2023-12-19T01:00:00"/>
    <x v="3"/>
    <x v="0"/>
    <s v="Morning"/>
    <n v="5"/>
    <n v="10"/>
    <s v="Plan A"/>
  </r>
  <r>
    <s v="PAT5373"/>
    <n v="14"/>
    <x v="1"/>
    <x v="3"/>
    <d v="2023-11-18T00:00:00"/>
    <d v="2023-11-30T00:00:00"/>
    <n v="12"/>
    <x v="2"/>
    <n v="5"/>
    <s v="Dr. Mehta"/>
    <n v="27258"/>
    <x v="4"/>
    <x v="1"/>
    <x v="0"/>
    <d v="2023-11-13T00:00:00"/>
    <d v="2023-11-14T03:00:00"/>
    <x v="0"/>
    <x v="0"/>
    <s v="Morning"/>
    <n v="6"/>
    <n v="12"/>
    <s v="Plan C"/>
  </r>
  <r>
    <s v="PAT5374"/>
    <n v="76"/>
    <x v="2"/>
    <x v="1"/>
    <d v="2024-03-22T00:00:00"/>
    <d v="2024-03-29T00:00:00"/>
    <n v="7"/>
    <x v="4"/>
    <n v="5"/>
    <s v="Dr. Rao"/>
    <n v="33287"/>
    <x v="1"/>
    <x v="1"/>
    <x v="1"/>
    <d v="2024-03-19T00:00:00"/>
    <d v="2024-03-20T15:00:00"/>
    <x v="3"/>
    <x v="0"/>
    <s v="Morning"/>
    <n v="11"/>
    <n v="8"/>
    <s v="Plan C"/>
  </r>
  <r>
    <s v="PAT5375"/>
    <n v="87"/>
    <x v="2"/>
    <x v="2"/>
    <d v="2024-07-06T00:00:00"/>
    <d v="2024-10-06T00:00:00"/>
    <n v="3"/>
    <x v="1"/>
    <n v="3"/>
    <s v="Dr. Rao"/>
    <n v="8688"/>
    <x v="2"/>
    <x v="1"/>
    <x v="0"/>
    <d v="2024-03-06T00:00:00"/>
    <d v="2024-03-06T09:00:00"/>
    <x v="3"/>
    <x v="0"/>
    <s v="Afternoon"/>
    <n v="11"/>
    <n v="8"/>
    <s v="Plan C"/>
  </r>
  <r>
    <s v="PAT5376"/>
    <n v="15"/>
    <x v="1"/>
    <x v="2"/>
    <d v="2023-04-29T00:00:00"/>
    <d v="2023-02-05T00:00:00"/>
    <n v="3"/>
    <x v="0"/>
    <n v="5"/>
    <s v="Dr. Gupta"/>
    <n v="12689"/>
    <x v="0"/>
    <x v="1"/>
    <x v="1"/>
    <d v="2023-04-26T00:00:00"/>
    <d v="2023-04-27T13:00:00"/>
    <x v="3"/>
    <x v="0"/>
    <s v="Night"/>
    <n v="10"/>
    <n v="8"/>
    <s v="Plan C"/>
  </r>
  <r>
    <s v="PAT5377"/>
    <n v="66"/>
    <x v="2"/>
    <x v="4"/>
    <d v="2024-01-30T00:00:00"/>
    <d v="2024-06-02T00:00:00"/>
    <n v="7"/>
    <x v="1"/>
    <n v="4"/>
    <s v="Dr. Mehta"/>
    <n v="6379"/>
    <x v="1"/>
    <x v="1"/>
    <x v="1"/>
    <d v="2024-01-28T00:00:00"/>
    <d v="2024-01-29T01:00:00"/>
    <x v="0"/>
    <x v="0"/>
    <s v="Night"/>
    <n v="8"/>
    <n v="8"/>
    <s v="Plan C"/>
  </r>
  <r>
    <s v="PAT5378"/>
    <n v="32"/>
    <x v="3"/>
    <x v="4"/>
    <d v="2023-07-14T00:00:00"/>
    <d v="2023-07-23T00:00:00"/>
    <n v="9"/>
    <x v="4"/>
    <n v="2"/>
    <s v="Dr. Mehta"/>
    <n v="42011"/>
    <x v="2"/>
    <x v="1"/>
    <x v="0"/>
    <d v="2023-07-13T00:00:00"/>
    <d v="2023-07-14T04:00:00"/>
    <x v="0"/>
    <x v="0"/>
    <s v="Night"/>
    <n v="6"/>
    <n v="12"/>
    <s v="Plan C"/>
  </r>
  <r>
    <s v="PAT5379"/>
    <n v="87"/>
    <x v="2"/>
    <x v="3"/>
    <d v="2023-09-18T00:00:00"/>
    <d v="2023-09-30T00:00:00"/>
    <n v="12"/>
    <x v="1"/>
    <n v="2"/>
    <s v="Dr. Rao"/>
    <n v="48005"/>
    <x v="2"/>
    <x v="1"/>
    <x v="0"/>
    <d v="2023-09-15T00:00:00"/>
    <d v="2023-09-15T12:00:00"/>
    <x v="3"/>
    <x v="0"/>
    <s v="Morning"/>
    <n v="10"/>
    <n v="10"/>
    <s v="Plan B"/>
  </r>
  <r>
    <s v="PAT5380"/>
    <n v="63"/>
    <x v="0"/>
    <x v="1"/>
    <d v="2023-02-15T00:00:00"/>
    <d v="2023-02-19T00:00:00"/>
    <n v="4"/>
    <x v="0"/>
    <n v="1"/>
    <s v="Dr. Sharma"/>
    <n v="32624"/>
    <x v="4"/>
    <x v="0"/>
    <x v="0"/>
    <d v="2023-11-02T00:00:00"/>
    <d v="2023-12-02T08:00:00"/>
    <x v="4"/>
    <x v="0"/>
    <s v="Night"/>
    <n v="8"/>
    <n v="10"/>
    <s v="Plan B"/>
  </r>
  <r>
    <s v="PAT5381"/>
    <n v="86"/>
    <x v="2"/>
    <x v="2"/>
    <d v="2024-03-22T00:00:00"/>
    <d v="2024-03-31T00:00:00"/>
    <n v="9"/>
    <x v="5"/>
    <n v="5"/>
    <s v="Dr. Sharma"/>
    <n v="30964"/>
    <x v="1"/>
    <x v="1"/>
    <x v="0"/>
    <d v="2024-03-20T00:00:00"/>
    <d v="2024-03-21T17:00:00"/>
    <x v="2"/>
    <x v="0"/>
    <s v="Morning"/>
    <n v="5"/>
    <n v="8"/>
    <s v="Plan B"/>
  </r>
  <r>
    <s v="PAT5382"/>
    <n v="51"/>
    <x v="0"/>
    <x v="3"/>
    <d v="2023-02-01T00:00:00"/>
    <d v="2023-11-01T00:00:00"/>
    <n v="9"/>
    <x v="2"/>
    <n v="1"/>
    <s v="Dr. Patel"/>
    <n v="27891"/>
    <x v="2"/>
    <x v="1"/>
    <x v="0"/>
    <d v="2022-12-29T00:00:00"/>
    <d v="2022-12-30T11:00:00"/>
    <x v="3"/>
    <x v="0"/>
    <s v="Afternoon"/>
    <n v="8"/>
    <n v="8"/>
    <s v="Plan A"/>
  </r>
  <r>
    <s v="PAT5383"/>
    <n v="25"/>
    <x v="3"/>
    <x v="3"/>
    <d v="2024-06-16T00:00:00"/>
    <d v="2024-06-30T00:00:00"/>
    <n v="14"/>
    <x v="0"/>
    <n v="2"/>
    <s v="Dr. Rao"/>
    <n v="43379"/>
    <x v="2"/>
    <x v="0"/>
    <x v="1"/>
    <d v="2024-06-14T00:00:00"/>
    <d v="2024-06-15T21:00:00"/>
    <x v="1"/>
    <x v="1"/>
    <s v="Night"/>
    <n v="7"/>
    <n v="8"/>
    <s v="Plan A"/>
  </r>
  <r>
    <s v="PAT5384"/>
    <n v="58"/>
    <x v="0"/>
    <x v="0"/>
    <d v="2023-07-21T00:00:00"/>
    <d v="2023-01-08T00:00:00"/>
    <n v="11"/>
    <x v="3"/>
    <n v="2"/>
    <s v="Dr. Patel"/>
    <n v="17516"/>
    <x v="1"/>
    <x v="0"/>
    <x v="0"/>
    <d v="2023-07-16T00:00:00"/>
    <d v="2023-07-17T18:00:00"/>
    <x v="3"/>
    <x v="0"/>
    <s v="Morning"/>
    <n v="4"/>
    <n v="10"/>
    <s v="Plan B"/>
  </r>
  <r>
    <s v="PAT5385"/>
    <n v="63"/>
    <x v="0"/>
    <x v="4"/>
    <d v="2024-08-01T00:00:00"/>
    <d v="2024-01-21T00:00:00"/>
    <n v="13"/>
    <x v="4"/>
    <n v="5"/>
    <s v="Dr. Rao"/>
    <n v="18886"/>
    <x v="0"/>
    <x v="1"/>
    <x v="0"/>
    <d v="2024-03-01T00:00:00"/>
    <d v="2024-03-01T12:00:00"/>
    <x v="0"/>
    <x v="0"/>
    <s v="Night"/>
    <n v="7"/>
    <n v="10"/>
    <s v="Plan A"/>
  </r>
  <r>
    <s v="PAT5386"/>
    <n v="62"/>
    <x v="0"/>
    <x v="1"/>
    <d v="2024-03-17T00:00:00"/>
    <d v="2024-03-23T00:00:00"/>
    <n v="6"/>
    <x v="5"/>
    <n v="4"/>
    <s v="Dr. Gupta"/>
    <n v="25307"/>
    <x v="1"/>
    <x v="1"/>
    <x v="0"/>
    <d v="2024-12-03T00:00:00"/>
    <d v="2024-03-13T12:00:00"/>
    <x v="2"/>
    <x v="0"/>
    <s v="Night"/>
    <n v="11"/>
    <n v="8"/>
    <s v="Plan A"/>
  </r>
  <r>
    <s v="PAT5387"/>
    <n v="22"/>
    <x v="3"/>
    <x v="2"/>
    <d v="2023-03-13T00:00:00"/>
    <d v="2023-03-15T00:00:00"/>
    <n v="2"/>
    <x v="3"/>
    <n v="4"/>
    <s v="Dr. Mehta"/>
    <n v="29843"/>
    <x v="1"/>
    <x v="0"/>
    <x v="0"/>
    <d v="2023-08-03T00:00:00"/>
    <d v="2023-08-03T11:00:00"/>
    <x v="1"/>
    <x v="0"/>
    <s v="Afternoon"/>
    <n v="10"/>
    <n v="12"/>
    <s v="Plan C"/>
  </r>
  <r>
    <s v="PAT5388"/>
    <n v="58"/>
    <x v="0"/>
    <x v="3"/>
    <d v="2023-05-12T00:00:00"/>
    <d v="2023-12-12T00:00:00"/>
    <n v="7"/>
    <x v="3"/>
    <n v="5"/>
    <s v="Dr. Gupta"/>
    <n v="10912"/>
    <x v="0"/>
    <x v="1"/>
    <x v="1"/>
    <d v="2023-11-30T00:00:00"/>
    <d v="2023-01-12T08:00:00"/>
    <x v="2"/>
    <x v="0"/>
    <s v="Night"/>
    <n v="10"/>
    <n v="10"/>
    <s v="Plan C"/>
  </r>
  <r>
    <s v="PAT5389"/>
    <n v="58"/>
    <x v="0"/>
    <x v="2"/>
    <d v="2023-11-18T00:00:00"/>
    <d v="2023-02-12T00:00:00"/>
    <n v="14"/>
    <x v="4"/>
    <n v="5"/>
    <s v="Dr. Rao"/>
    <n v="26514"/>
    <x v="1"/>
    <x v="1"/>
    <x v="0"/>
    <d v="2023-11-16T00:00:00"/>
    <d v="2023-11-16T19:00:00"/>
    <x v="2"/>
    <x v="0"/>
    <s v="Afternoon"/>
    <n v="9"/>
    <n v="10"/>
    <s v="Plan A"/>
  </r>
  <r>
    <s v="PAT5390"/>
    <n v="86"/>
    <x v="2"/>
    <x v="0"/>
    <d v="2023-08-05T00:00:00"/>
    <d v="2023-05-20T00:00:00"/>
    <n v="12"/>
    <x v="5"/>
    <n v="1"/>
    <s v="Dr. Mehta"/>
    <n v="26823"/>
    <x v="2"/>
    <x v="1"/>
    <x v="0"/>
    <d v="2023-04-05T00:00:00"/>
    <d v="2023-04-05T09:00:00"/>
    <x v="1"/>
    <x v="0"/>
    <s v="Night"/>
    <n v="7"/>
    <n v="8"/>
    <s v="Plan A"/>
  </r>
  <r>
    <s v="PAT5391"/>
    <n v="49"/>
    <x v="4"/>
    <x v="1"/>
    <d v="2023-04-11T00:00:00"/>
    <d v="2023-05-11T00:00:00"/>
    <n v="1"/>
    <x v="3"/>
    <n v="5"/>
    <s v="Dr. Sharma"/>
    <n v="33797"/>
    <x v="1"/>
    <x v="1"/>
    <x v="0"/>
    <d v="2023-01-11T00:00:00"/>
    <d v="2023-01-11T12:00:00"/>
    <x v="3"/>
    <x v="0"/>
    <s v="Night"/>
    <n v="6"/>
    <n v="12"/>
    <s v="Plan B"/>
  </r>
  <r>
    <s v="PAT5392"/>
    <n v="52"/>
    <x v="0"/>
    <x v="3"/>
    <d v="2024-03-06T00:00:00"/>
    <d v="2024-10-06T00:00:00"/>
    <n v="7"/>
    <x v="3"/>
    <n v="4"/>
    <s v="Dr. Sharma"/>
    <n v="11449"/>
    <x v="0"/>
    <x v="1"/>
    <x v="0"/>
    <d v="2024-02-06T00:00:00"/>
    <d v="2024-02-06T21:00:00"/>
    <x v="3"/>
    <x v="0"/>
    <s v="Night"/>
    <n v="11"/>
    <n v="8"/>
    <s v="Plan A"/>
  </r>
  <r>
    <s v="PAT5393"/>
    <n v="42"/>
    <x v="4"/>
    <x v="2"/>
    <d v="2023-11-13T00:00:00"/>
    <d v="2023-11-14T00:00:00"/>
    <n v="1"/>
    <x v="5"/>
    <n v="5"/>
    <s v="Dr. Patel"/>
    <n v="6725"/>
    <x v="3"/>
    <x v="0"/>
    <x v="0"/>
    <d v="2023-12-11T00:00:00"/>
    <d v="2023-11-13T05:00:00"/>
    <x v="3"/>
    <x v="0"/>
    <s v="Night"/>
    <n v="5"/>
    <n v="8"/>
    <s v="Plan C"/>
  </r>
  <r>
    <s v="PAT5394"/>
    <n v="70"/>
    <x v="2"/>
    <x v="4"/>
    <d v="2024-02-23T00:00:00"/>
    <d v="2024-02-03T00:00:00"/>
    <n v="8"/>
    <x v="1"/>
    <n v="1"/>
    <s v="Dr. Rao"/>
    <n v="20870"/>
    <x v="1"/>
    <x v="1"/>
    <x v="0"/>
    <d v="2024-02-21T00:00:00"/>
    <d v="2024-02-22T16:00:00"/>
    <x v="4"/>
    <x v="0"/>
    <s v="Night"/>
    <n v="11"/>
    <n v="12"/>
    <s v="Plan A"/>
  </r>
  <r>
    <s v="PAT5395"/>
    <n v="15"/>
    <x v="1"/>
    <x v="0"/>
    <d v="2023-01-12T00:00:00"/>
    <d v="2023-12-16T00:00:00"/>
    <n v="15"/>
    <x v="3"/>
    <n v="1"/>
    <s v="Dr. Rao"/>
    <n v="14304"/>
    <x v="4"/>
    <x v="1"/>
    <x v="0"/>
    <d v="2023-11-27T00:00:00"/>
    <d v="2023-11-27T04:00:00"/>
    <x v="3"/>
    <x v="0"/>
    <s v="Night"/>
    <n v="9"/>
    <n v="12"/>
    <s v="Plan B"/>
  </r>
  <r>
    <s v="PAT5396"/>
    <n v="54"/>
    <x v="0"/>
    <x v="1"/>
    <d v="2024-02-17T00:00:00"/>
    <d v="2024-02-19T00:00:00"/>
    <n v="2"/>
    <x v="2"/>
    <n v="1"/>
    <s v="Dr. Sharma"/>
    <n v="12522"/>
    <x v="2"/>
    <x v="1"/>
    <x v="0"/>
    <d v="2024-02-15T00:00:00"/>
    <d v="2024-02-15T23:00:00"/>
    <x v="1"/>
    <x v="0"/>
    <s v="Afternoon"/>
    <n v="9"/>
    <n v="12"/>
    <s v="Plan C"/>
  </r>
  <r>
    <s v="PAT5397"/>
    <n v="60"/>
    <x v="0"/>
    <x v="0"/>
    <d v="2023-10-30T00:00:00"/>
    <d v="2023-11-13T00:00:00"/>
    <n v="14"/>
    <x v="5"/>
    <n v="1"/>
    <s v="Dr. Gupta"/>
    <n v="18663"/>
    <x v="2"/>
    <x v="1"/>
    <x v="1"/>
    <d v="2023-10-29T00:00:00"/>
    <d v="2023-10-29T01:00:00"/>
    <x v="4"/>
    <x v="1"/>
    <s v="Afternoon"/>
    <n v="9"/>
    <n v="10"/>
    <s v="Plan C"/>
  </r>
  <r>
    <s v="PAT5398"/>
    <n v="8"/>
    <x v="1"/>
    <x v="4"/>
    <d v="2023-11-05T00:00:00"/>
    <d v="2023-05-17T00:00:00"/>
    <n v="6"/>
    <x v="3"/>
    <n v="3"/>
    <s v="Dr. Mehta"/>
    <n v="9784"/>
    <x v="4"/>
    <x v="0"/>
    <x v="1"/>
    <d v="2023-09-05T00:00:00"/>
    <d v="2023-10-05T08:00:00"/>
    <x v="3"/>
    <x v="0"/>
    <s v="Morning"/>
    <n v="10"/>
    <n v="8"/>
    <s v="Plan C"/>
  </r>
  <r>
    <s v="PAT5399"/>
    <n v="53"/>
    <x v="0"/>
    <x v="1"/>
    <d v="2023-07-16T00:00:00"/>
    <d v="2023-07-26T00:00:00"/>
    <n v="10"/>
    <x v="4"/>
    <n v="5"/>
    <s v="Dr. Gupta"/>
    <n v="14472"/>
    <x v="4"/>
    <x v="1"/>
    <x v="0"/>
    <d v="2023-07-14T00:00:00"/>
    <d v="2023-07-14T09:00:00"/>
    <x v="4"/>
    <x v="0"/>
    <s v="Night"/>
    <n v="4"/>
    <n v="10"/>
    <s v="Plan C"/>
  </r>
  <r>
    <s v="PAT5400"/>
    <n v="60"/>
    <x v="0"/>
    <x v="0"/>
    <d v="2024-06-03T00:00:00"/>
    <d v="2024-03-13T00:00:00"/>
    <n v="7"/>
    <x v="0"/>
    <n v="2"/>
    <s v="Dr. Gupta"/>
    <n v="33952"/>
    <x v="1"/>
    <x v="0"/>
    <x v="1"/>
    <d v="2024-01-03T00:00:00"/>
    <d v="2024-01-03T13:00:00"/>
    <x v="1"/>
    <x v="0"/>
    <s v="Afternoon"/>
    <n v="8"/>
    <n v="12"/>
    <s v="Plan A"/>
  </r>
  <r>
    <s v="PAT5401"/>
    <n v="5"/>
    <x v="1"/>
    <x v="5"/>
    <d v="2024-01-24T00:00:00"/>
    <d v="2024-03-02T00:00:00"/>
    <n v="10"/>
    <x v="2"/>
    <n v="5"/>
    <s v="Dr. Sharma"/>
    <n v="15055"/>
    <x v="4"/>
    <x v="1"/>
    <x v="1"/>
    <d v="2024-01-23T00:00:00"/>
    <d v="2024-01-24T01:00:00"/>
    <x v="3"/>
    <x v="0"/>
    <s v="Night"/>
    <n v="6"/>
    <n v="10"/>
    <s v="Plan B"/>
  </r>
  <r>
    <s v="PAT5402"/>
    <n v="68"/>
    <x v="2"/>
    <x v="4"/>
    <d v="2023-06-28T00:00:00"/>
    <d v="2023-05-07T00:00:00"/>
    <n v="7"/>
    <x v="0"/>
    <n v="3"/>
    <s v="Dr. Sharma"/>
    <n v="34508"/>
    <x v="3"/>
    <x v="1"/>
    <x v="0"/>
    <d v="2023-06-23T00:00:00"/>
    <d v="2023-06-24T12:00:00"/>
    <x v="0"/>
    <x v="0"/>
    <s v="Night"/>
    <n v="11"/>
    <n v="12"/>
    <s v="Plan A"/>
  </r>
  <r>
    <s v="PAT5403"/>
    <n v="6"/>
    <x v="1"/>
    <x v="4"/>
    <d v="2023-05-11T00:00:00"/>
    <d v="2023-11-17T00:00:00"/>
    <n v="12"/>
    <x v="0"/>
    <n v="1"/>
    <s v="Dr. Sharma"/>
    <n v="17676"/>
    <x v="0"/>
    <x v="0"/>
    <x v="0"/>
    <d v="2023-10-31T00:00:00"/>
    <d v="2023-01-11T09:00:00"/>
    <x v="1"/>
    <x v="0"/>
    <s v="Afternoon"/>
    <n v="10"/>
    <n v="12"/>
    <s v="Plan A"/>
  </r>
  <r>
    <s v="PAT5404"/>
    <n v="47"/>
    <x v="4"/>
    <x v="4"/>
    <d v="2024-02-20T00:00:00"/>
    <d v="2024-02-03T00:00:00"/>
    <n v="11"/>
    <x v="3"/>
    <n v="3"/>
    <s v="Dr. Patel"/>
    <n v="30192"/>
    <x v="4"/>
    <x v="1"/>
    <x v="0"/>
    <d v="2024-02-17T00:00:00"/>
    <d v="2024-02-18T18:00:00"/>
    <x v="2"/>
    <x v="0"/>
    <s v="Night"/>
    <n v="11"/>
    <n v="8"/>
    <s v="Plan C"/>
  </r>
  <r>
    <s v="PAT5405"/>
    <n v="55"/>
    <x v="0"/>
    <x v="5"/>
    <d v="2023-01-01T00:00:00"/>
    <d v="2023-08-01T00:00:00"/>
    <n v="7"/>
    <x v="2"/>
    <n v="4"/>
    <s v="Dr. Gupta"/>
    <n v="29722"/>
    <x v="4"/>
    <x v="1"/>
    <x v="1"/>
    <d v="2022-12-30T00:00:00"/>
    <d v="2022-12-31T08:00:00"/>
    <x v="2"/>
    <x v="0"/>
    <s v="Afternoon"/>
    <n v="5"/>
    <n v="8"/>
    <s v="Plan B"/>
  </r>
  <r>
    <s v="PAT5406"/>
    <n v="40"/>
    <x v="4"/>
    <x v="5"/>
    <d v="2023-08-11T00:00:00"/>
    <d v="2023-11-13T00:00:00"/>
    <n v="5"/>
    <x v="2"/>
    <n v="4"/>
    <s v="Dr. Rao"/>
    <n v="12446"/>
    <x v="3"/>
    <x v="0"/>
    <x v="1"/>
    <d v="2023-05-11T00:00:00"/>
    <d v="2023-06-11T03:00:00"/>
    <x v="1"/>
    <x v="0"/>
    <s v="Afternoon"/>
    <n v="10"/>
    <n v="8"/>
    <s v="Plan C"/>
  </r>
  <r>
    <s v="PAT5407"/>
    <n v="52"/>
    <x v="0"/>
    <x v="2"/>
    <d v="2023-10-21T00:00:00"/>
    <d v="2023-10-23T00:00:00"/>
    <n v="2"/>
    <x v="1"/>
    <n v="5"/>
    <s v="Dr. Mehta"/>
    <n v="9725"/>
    <x v="2"/>
    <x v="1"/>
    <x v="1"/>
    <d v="2023-10-19T00:00:00"/>
    <d v="2023-10-20T20:00:00"/>
    <x v="2"/>
    <x v="0"/>
    <s v="Morning"/>
    <n v="4"/>
    <n v="10"/>
    <s v="Plan A"/>
  </r>
  <r>
    <s v="PAT5408"/>
    <n v="16"/>
    <x v="1"/>
    <x v="3"/>
    <d v="2023-04-08T00:00:00"/>
    <d v="2023-11-08T00:00:00"/>
    <n v="7"/>
    <x v="0"/>
    <n v="5"/>
    <s v="Dr. Patel"/>
    <n v="25061"/>
    <x v="2"/>
    <x v="0"/>
    <x v="0"/>
    <d v="2023-07-31T00:00:00"/>
    <d v="2023-01-08T08:00:00"/>
    <x v="1"/>
    <x v="0"/>
    <s v="Morning"/>
    <n v="11"/>
    <n v="8"/>
    <s v="Plan A"/>
  </r>
  <r>
    <s v="PAT5409"/>
    <n v="13"/>
    <x v="1"/>
    <x v="0"/>
    <d v="2024-03-16T00:00:00"/>
    <d v="2024-03-17T00:00:00"/>
    <n v="1"/>
    <x v="2"/>
    <n v="2"/>
    <s v="Dr. Rao"/>
    <n v="27671"/>
    <x v="1"/>
    <x v="0"/>
    <x v="0"/>
    <d v="2024-11-03T00:00:00"/>
    <d v="2024-12-03T03:00:00"/>
    <x v="0"/>
    <x v="0"/>
    <s v="Morning"/>
    <n v="10"/>
    <n v="12"/>
    <s v="Plan C"/>
  </r>
  <r>
    <s v="PAT5410"/>
    <n v="30"/>
    <x v="3"/>
    <x v="2"/>
    <d v="2023-11-26T00:00:00"/>
    <d v="2023-02-12T00:00:00"/>
    <n v="6"/>
    <x v="1"/>
    <n v="2"/>
    <s v="Dr. Gupta"/>
    <n v="6409"/>
    <x v="3"/>
    <x v="1"/>
    <x v="0"/>
    <d v="2023-11-24T00:00:00"/>
    <d v="2023-11-25T22:00:00"/>
    <x v="1"/>
    <x v="0"/>
    <s v="Morning"/>
    <n v="10"/>
    <n v="8"/>
    <s v="Plan A"/>
  </r>
  <r>
    <s v="PAT5411"/>
    <n v="19"/>
    <x v="3"/>
    <x v="0"/>
    <d v="2024-04-21T00:00:00"/>
    <d v="2024-04-24T00:00:00"/>
    <n v="3"/>
    <x v="5"/>
    <n v="4"/>
    <s v="Dr. Sharma"/>
    <n v="13205"/>
    <x v="0"/>
    <x v="1"/>
    <x v="1"/>
    <d v="2024-04-19T00:00:00"/>
    <d v="2024-04-20T05:00:00"/>
    <x v="3"/>
    <x v="0"/>
    <s v="Night"/>
    <n v="7"/>
    <n v="10"/>
    <s v="Plan A"/>
  </r>
  <r>
    <s v="PAT5412"/>
    <n v="17"/>
    <x v="1"/>
    <x v="3"/>
    <d v="2024-03-28T00:00:00"/>
    <d v="2024-10-04T00:00:00"/>
    <n v="13"/>
    <x v="1"/>
    <n v="1"/>
    <s v="Dr. Gupta"/>
    <n v="21365"/>
    <x v="0"/>
    <x v="1"/>
    <x v="0"/>
    <d v="2024-03-28T00:00:00"/>
    <d v="2024-03-29T08:00:00"/>
    <x v="3"/>
    <x v="0"/>
    <s v="Night"/>
    <n v="5"/>
    <n v="8"/>
    <s v="Plan C"/>
  </r>
  <r>
    <s v="PAT5413"/>
    <n v="63"/>
    <x v="0"/>
    <x v="5"/>
    <d v="2024-03-28T00:00:00"/>
    <d v="2024-07-04T00:00:00"/>
    <n v="10"/>
    <x v="4"/>
    <n v="3"/>
    <s v="Dr. Mehta"/>
    <n v="5256"/>
    <x v="3"/>
    <x v="1"/>
    <x v="0"/>
    <d v="2024-03-24T00:00:00"/>
    <d v="2024-03-24T11:00:00"/>
    <x v="4"/>
    <x v="0"/>
    <s v="Morning"/>
    <n v="9"/>
    <n v="8"/>
    <s v="Plan A"/>
  </r>
  <r>
    <s v="PAT5414"/>
    <n v="19"/>
    <x v="3"/>
    <x v="3"/>
    <d v="2023-07-08T00:00:00"/>
    <d v="2023-08-15T00:00:00"/>
    <n v="8"/>
    <x v="3"/>
    <n v="2"/>
    <s v="Dr. Patel"/>
    <n v="20704"/>
    <x v="0"/>
    <x v="0"/>
    <x v="0"/>
    <d v="2023-02-08T00:00:00"/>
    <d v="2023-02-08T06:00:00"/>
    <x v="2"/>
    <x v="0"/>
    <s v="Afternoon"/>
    <n v="5"/>
    <n v="8"/>
    <s v="Plan B"/>
  </r>
  <r>
    <s v="PAT5415"/>
    <n v="58"/>
    <x v="0"/>
    <x v="5"/>
    <d v="2024-07-06T00:00:00"/>
    <d v="2024-06-21T00:00:00"/>
    <n v="14"/>
    <x v="5"/>
    <n v="2"/>
    <s v="Dr. Patel"/>
    <n v="34902"/>
    <x v="2"/>
    <x v="0"/>
    <x v="0"/>
    <d v="2024-03-06T00:00:00"/>
    <d v="2024-04-06T13:00:00"/>
    <x v="2"/>
    <x v="0"/>
    <s v="Afternoon"/>
    <n v="5"/>
    <n v="10"/>
    <s v="Plan C"/>
  </r>
  <r>
    <s v="PAT5416"/>
    <n v="55"/>
    <x v="0"/>
    <x v="3"/>
    <d v="2024-04-29T00:00:00"/>
    <d v="2024-11-05T00:00:00"/>
    <n v="12"/>
    <x v="5"/>
    <n v="1"/>
    <s v="Dr. Mehta"/>
    <n v="40758"/>
    <x v="0"/>
    <x v="1"/>
    <x v="0"/>
    <d v="2024-04-26T00:00:00"/>
    <d v="2024-04-26T02:00:00"/>
    <x v="1"/>
    <x v="0"/>
    <s v="Afternoon"/>
    <n v="7"/>
    <n v="12"/>
    <s v="Plan B"/>
  </r>
  <r>
    <s v="PAT5417"/>
    <n v="62"/>
    <x v="0"/>
    <x v="2"/>
    <d v="2023-06-23T00:00:00"/>
    <d v="2023-08-07T00:00:00"/>
    <n v="15"/>
    <x v="4"/>
    <n v="1"/>
    <s v="Dr. Rao"/>
    <n v="6195"/>
    <x v="0"/>
    <x v="1"/>
    <x v="1"/>
    <d v="2023-06-20T00:00:00"/>
    <d v="2023-06-20T15:00:00"/>
    <x v="2"/>
    <x v="0"/>
    <s v="Afternoon"/>
    <n v="8"/>
    <n v="12"/>
    <s v="Plan A"/>
  </r>
  <r>
    <s v="PAT5418"/>
    <n v="23"/>
    <x v="3"/>
    <x v="1"/>
    <d v="2023-03-28T00:00:00"/>
    <d v="2023-03-04T00:00:00"/>
    <n v="6"/>
    <x v="1"/>
    <n v="5"/>
    <s v="Dr. Rao"/>
    <n v="39012"/>
    <x v="3"/>
    <x v="1"/>
    <x v="1"/>
    <d v="2023-03-26T00:00:00"/>
    <d v="2023-03-26T19:00:00"/>
    <x v="3"/>
    <x v="0"/>
    <s v="Night"/>
    <n v="10"/>
    <n v="12"/>
    <s v="Plan A"/>
  </r>
  <r>
    <s v="PAT5419"/>
    <n v="9"/>
    <x v="1"/>
    <x v="2"/>
    <d v="2023-10-18T00:00:00"/>
    <d v="2023-10-20T00:00:00"/>
    <n v="2"/>
    <x v="3"/>
    <n v="3"/>
    <s v="Dr. Patel"/>
    <n v="16415"/>
    <x v="3"/>
    <x v="1"/>
    <x v="0"/>
    <d v="2023-10-17T00:00:00"/>
    <d v="2023-10-17T03:00:00"/>
    <x v="0"/>
    <x v="0"/>
    <s v="Afternoon"/>
    <n v="6"/>
    <n v="8"/>
    <s v="Plan C"/>
  </r>
  <r>
    <s v="PAT5420"/>
    <n v="12"/>
    <x v="1"/>
    <x v="0"/>
    <d v="2024-11-06T00:00:00"/>
    <d v="2024-06-18T00:00:00"/>
    <n v="7"/>
    <x v="1"/>
    <n v="1"/>
    <s v="Dr. Patel"/>
    <n v="44534"/>
    <x v="0"/>
    <x v="0"/>
    <x v="1"/>
    <d v="2024-09-06T00:00:00"/>
    <d v="2024-09-06T18:00:00"/>
    <x v="1"/>
    <x v="0"/>
    <s v="Afternoon"/>
    <n v="9"/>
    <n v="8"/>
    <s v="Plan A"/>
  </r>
  <r>
    <s v="PAT5421"/>
    <n v="1"/>
    <x v="1"/>
    <x v="2"/>
    <d v="2023-10-12T00:00:00"/>
    <d v="2023-12-24T00:00:00"/>
    <n v="14"/>
    <x v="2"/>
    <n v="2"/>
    <s v="Dr. Sharma"/>
    <n v="26686"/>
    <x v="4"/>
    <x v="1"/>
    <x v="1"/>
    <d v="2023-10-12T00:00:00"/>
    <d v="2023-10-12T15:00:00"/>
    <x v="2"/>
    <x v="0"/>
    <s v="Morning"/>
    <n v="11"/>
    <n v="10"/>
    <s v="Plan C"/>
  </r>
  <r>
    <s v="PAT5422"/>
    <n v="58"/>
    <x v="0"/>
    <x v="4"/>
    <d v="2023-06-04T00:00:00"/>
    <d v="2023-08-04T00:00:00"/>
    <n v="2"/>
    <x v="1"/>
    <n v="2"/>
    <s v="Dr. Rao"/>
    <n v="16662"/>
    <x v="3"/>
    <x v="0"/>
    <x v="1"/>
    <d v="2023-04-04T00:00:00"/>
    <d v="2023-05-04T11:00:00"/>
    <x v="3"/>
    <x v="0"/>
    <s v="Afternoon"/>
    <n v="8"/>
    <n v="12"/>
    <s v="Plan C"/>
  </r>
  <r>
    <s v="PAT5423"/>
    <n v="1"/>
    <x v="1"/>
    <x v="0"/>
    <d v="2023-08-29T00:00:00"/>
    <d v="2023-02-09T00:00:00"/>
    <n v="4"/>
    <x v="5"/>
    <n v="4"/>
    <s v="Dr. Mehta"/>
    <n v="33743"/>
    <x v="1"/>
    <x v="0"/>
    <x v="1"/>
    <d v="2023-08-24T00:00:00"/>
    <d v="2023-08-24T19:00:00"/>
    <x v="4"/>
    <x v="0"/>
    <s v="Night"/>
    <n v="4"/>
    <n v="8"/>
    <s v="Plan C"/>
  </r>
  <r>
    <s v="PAT5424"/>
    <n v="34"/>
    <x v="3"/>
    <x v="3"/>
    <d v="2023-11-14T00:00:00"/>
    <d v="2023-11-21T00:00:00"/>
    <n v="7"/>
    <x v="3"/>
    <n v="1"/>
    <s v="Dr. Rao"/>
    <n v="37161"/>
    <x v="1"/>
    <x v="0"/>
    <x v="0"/>
    <d v="2023-11-14T00:00:00"/>
    <d v="2023-11-14T11:00:00"/>
    <x v="2"/>
    <x v="0"/>
    <s v="Afternoon"/>
    <n v="10"/>
    <n v="8"/>
    <s v="Plan C"/>
  </r>
  <r>
    <s v="PAT5425"/>
    <n v="48"/>
    <x v="4"/>
    <x v="0"/>
    <d v="2023-08-19T00:00:00"/>
    <d v="2023-08-29T00:00:00"/>
    <n v="10"/>
    <x v="1"/>
    <n v="5"/>
    <s v="Dr. Sharma"/>
    <n v="48081"/>
    <x v="2"/>
    <x v="1"/>
    <x v="0"/>
    <d v="2023-08-17T00:00:00"/>
    <d v="2023-08-18T06:00:00"/>
    <x v="0"/>
    <x v="0"/>
    <s v="Afternoon"/>
    <n v="9"/>
    <n v="8"/>
    <s v="Plan C"/>
  </r>
  <r>
    <s v="PAT5426"/>
    <n v="89"/>
    <x v="2"/>
    <x v="1"/>
    <d v="2023-07-23T00:00:00"/>
    <d v="2023-07-30T00:00:00"/>
    <n v="7"/>
    <x v="3"/>
    <n v="3"/>
    <s v="Dr. Patel"/>
    <n v="7402"/>
    <x v="0"/>
    <x v="0"/>
    <x v="0"/>
    <d v="2023-07-20T00:00:00"/>
    <d v="2023-07-21T13:00:00"/>
    <x v="0"/>
    <x v="0"/>
    <s v="Night"/>
    <n v="6"/>
    <n v="10"/>
    <s v="Plan B"/>
  </r>
  <r>
    <s v="PAT5427"/>
    <n v="1"/>
    <x v="1"/>
    <x v="5"/>
    <d v="2023-05-31T00:00:00"/>
    <d v="2023-09-06T00:00:00"/>
    <n v="9"/>
    <x v="3"/>
    <n v="5"/>
    <s v="Dr. Patel"/>
    <n v="18275"/>
    <x v="4"/>
    <x v="1"/>
    <x v="0"/>
    <d v="2023-05-26T00:00:00"/>
    <d v="2023-05-28T00:00:00"/>
    <x v="2"/>
    <x v="0"/>
    <s v="Morning"/>
    <n v="10"/>
    <n v="12"/>
    <s v="Plan C"/>
  </r>
  <r>
    <s v="PAT5428"/>
    <n v="16"/>
    <x v="1"/>
    <x v="3"/>
    <d v="2023-01-26T00:00:00"/>
    <d v="2023-01-28T00:00:00"/>
    <n v="2"/>
    <x v="2"/>
    <n v="2"/>
    <s v="Dr. Sharma"/>
    <n v="33182"/>
    <x v="2"/>
    <x v="0"/>
    <x v="0"/>
    <d v="2023-01-24T00:00:00"/>
    <d v="2023-01-25T08:00:00"/>
    <x v="2"/>
    <x v="0"/>
    <s v="Night"/>
    <n v="4"/>
    <n v="10"/>
    <s v="Plan B"/>
  </r>
  <r>
    <s v="PAT5429"/>
    <n v="61"/>
    <x v="0"/>
    <x v="0"/>
    <d v="2023-02-17T00:00:00"/>
    <d v="2023-02-24T00:00:00"/>
    <n v="7"/>
    <x v="2"/>
    <n v="5"/>
    <s v="Dr. Mehta"/>
    <n v="19915"/>
    <x v="0"/>
    <x v="1"/>
    <x v="0"/>
    <d v="2023-12-02T00:00:00"/>
    <d v="2023-02-13T12:00:00"/>
    <x v="3"/>
    <x v="0"/>
    <s v="Morning"/>
    <n v="7"/>
    <n v="12"/>
    <s v="Plan A"/>
  </r>
  <r>
    <s v="PAT5430"/>
    <n v="64"/>
    <x v="0"/>
    <x v="3"/>
    <d v="2023-08-09T00:00:00"/>
    <d v="2023-09-22T00:00:00"/>
    <n v="14"/>
    <x v="5"/>
    <n v="2"/>
    <s v="Dr. Patel"/>
    <n v="5909"/>
    <x v="3"/>
    <x v="1"/>
    <x v="0"/>
    <d v="2023-05-09T00:00:00"/>
    <d v="2023-06-09T09:00:00"/>
    <x v="2"/>
    <x v="0"/>
    <s v="Afternoon"/>
    <n v="8"/>
    <n v="12"/>
    <s v="Plan C"/>
  </r>
  <r>
    <s v="PAT5431"/>
    <n v="63"/>
    <x v="0"/>
    <x v="3"/>
    <d v="2024-01-05T00:00:00"/>
    <d v="2024-06-05T00:00:00"/>
    <n v="5"/>
    <x v="4"/>
    <n v="2"/>
    <s v="Dr. Gupta"/>
    <n v="5372"/>
    <x v="1"/>
    <x v="1"/>
    <x v="0"/>
    <d v="2024-04-30T00:00:00"/>
    <d v="2024-04-30T08:00:00"/>
    <x v="4"/>
    <x v="0"/>
    <s v="Morning"/>
    <n v="10"/>
    <n v="8"/>
    <s v="Plan A"/>
  </r>
  <r>
    <s v="PAT5432"/>
    <n v="69"/>
    <x v="2"/>
    <x v="3"/>
    <d v="2023-03-16T00:00:00"/>
    <d v="2023-03-28T00:00:00"/>
    <n v="12"/>
    <x v="3"/>
    <n v="2"/>
    <s v="Dr. Patel"/>
    <n v="27620"/>
    <x v="4"/>
    <x v="1"/>
    <x v="1"/>
    <d v="2023-03-15T00:00:00"/>
    <d v="2023-03-16T13:00:00"/>
    <x v="3"/>
    <x v="1"/>
    <s v="Morning"/>
    <n v="9"/>
    <n v="8"/>
    <s v="Plan C"/>
  </r>
  <r>
    <s v="PAT5433"/>
    <n v="22"/>
    <x v="3"/>
    <x v="5"/>
    <d v="2024-11-04T00:00:00"/>
    <d v="2024-04-17T00:00:00"/>
    <n v="6"/>
    <x v="4"/>
    <n v="2"/>
    <s v="Dr. Gupta"/>
    <n v="39112"/>
    <x v="1"/>
    <x v="1"/>
    <x v="0"/>
    <d v="2024-07-04T00:00:00"/>
    <d v="2024-07-04T08:00:00"/>
    <x v="1"/>
    <x v="0"/>
    <s v="Morning"/>
    <n v="5"/>
    <n v="8"/>
    <s v="Plan B"/>
  </r>
  <r>
    <s v="PAT5434"/>
    <n v="67"/>
    <x v="2"/>
    <x v="2"/>
    <d v="2024-02-29T00:00:00"/>
    <d v="2024-04-03T00:00:00"/>
    <n v="4"/>
    <x v="5"/>
    <n v="2"/>
    <s v="Dr. Sharma"/>
    <n v="13515"/>
    <x v="3"/>
    <x v="0"/>
    <x v="0"/>
    <d v="2024-02-27T00:00:00"/>
    <d v="2024-02-27T18:00:00"/>
    <x v="4"/>
    <x v="0"/>
    <s v="Afternoon"/>
    <n v="11"/>
    <n v="8"/>
    <s v="Plan B"/>
  </r>
  <r>
    <s v="PAT5435"/>
    <n v="76"/>
    <x v="2"/>
    <x v="3"/>
    <d v="2023-07-19T00:00:00"/>
    <d v="2023-07-25T00:00:00"/>
    <n v="6"/>
    <x v="3"/>
    <n v="4"/>
    <s v="Dr. Sharma"/>
    <n v="7431"/>
    <x v="0"/>
    <x v="1"/>
    <x v="0"/>
    <d v="2023-07-15T00:00:00"/>
    <d v="2023-07-16T11:00:00"/>
    <x v="3"/>
    <x v="0"/>
    <s v="Morning"/>
    <n v="11"/>
    <n v="8"/>
    <s v="Plan B"/>
  </r>
  <r>
    <s v="PAT5436"/>
    <n v="26"/>
    <x v="3"/>
    <x v="4"/>
    <d v="2024-01-29T00:00:00"/>
    <d v="2024-11-02T00:00:00"/>
    <n v="13"/>
    <x v="3"/>
    <n v="5"/>
    <s v="Dr. Patel"/>
    <n v="26054"/>
    <x v="3"/>
    <x v="1"/>
    <x v="0"/>
    <d v="2024-01-24T00:00:00"/>
    <d v="2024-01-25T00:00:00"/>
    <x v="3"/>
    <x v="0"/>
    <s v="Morning"/>
    <n v="11"/>
    <n v="12"/>
    <s v="Plan A"/>
  </r>
  <r>
    <s v="PAT5437"/>
    <n v="16"/>
    <x v="1"/>
    <x v="1"/>
    <d v="2024-05-21T00:00:00"/>
    <d v="2024-05-24T00:00:00"/>
    <n v="3"/>
    <x v="0"/>
    <n v="4"/>
    <s v="Dr. Rao"/>
    <n v="37624"/>
    <x v="3"/>
    <x v="1"/>
    <x v="0"/>
    <d v="2024-05-19T00:00:00"/>
    <d v="2024-05-20T11:00:00"/>
    <x v="0"/>
    <x v="0"/>
    <s v="Afternoon"/>
    <n v="6"/>
    <n v="8"/>
    <s v="Plan C"/>
  </r>
  <r>
    <s v="PAT5438"/>
    <n v="51"/>
    <x v="0"/>
    <x v="5"/>
    <d v="2024-02-14T00:00:00"/>
    <d v="2024-02-16T00:00:00"/>
    <n v="2"/>
    <x v="4"/>
    <n v="4"/>
    <s v="Dr. Gupta"/>
    <n v="15585"/>
    <x v="1"/>
    <x v="1"/>
    <x v="0"/>
    <d v="2024-02-13T00:00:00"/>
    <d v="2024-02-13T03:00:00"/>
    <x v="3"/>
    <x v="0"/>
    <s v="Night"/>
    <n v="10"/>
    <n v="8"/>
    <s v="Plan A"/>
  </r>
  <r>
    <s v="PAT5439"/>
    <n v="86"/>
    <x v="2"/>
    <x v="0"/>
    <d v="2023-07-09T00:00:00"/>
    <d v="2023-09-16T00:00:00"/>
    <n v="9"/>
    <x v="1"/>
    <n v="1"/>
    <s v="Dr. Mehta"/>
    <n v="36958"/>
    <x v="4"/>
    <x v="1"/>
    <x v="1"/>
    <d v="2023-07-09T00:00:00"/>
    <d v="2023-08-09T23:00:00"/>
    <x v="4"/>
    <x v="0"/>
    <s v="Night"/>
    <n v="11"/>
    <n v="10"/>
    <s v="Plan B"/>
  </r>
  <r>
    <s v="PAT5440"/>
    <n v="57"/>
    <x v="0"/>
    <x v="5"/>
    <d v="2023-01-06T00:00:00"/>
    <d v="2023-12-06T00:00:00"/>
    <n v="11"/>
    <x v="2"/>
    <n v="1"/>
    <s v="Dr. Patel"/>
    <n v="6695"/>
    <x v="3"/>
    <x v="1"/>
    <x v="0"/>
    <d v="2023-05-28T00:00:00"/>
    <d v="2023-05-29T05:00:00"/>
    <x v="2"/>
    <x v="0"/>
    <s v="Night"/>
    <n v="9"/>
    <n v="10"/>
    <s v="Plan A"/>
  </r>
  <r>
    <s v="PAT5441"/>
    <n v="29"/>
    <x v="3"/>
    <x v="0"/>
    <d v="2023-06-01T00:00:00"/>
    <d v="2023-08-01T00:00:00"/>
    <n v="2"/>
    <x v="1"/>
    <n v="1"/>
    <s v="Dr. Mehta"/>
    <n v="39675"/>
    <x v="1"/>
    <x v="1"/>
    <x v="0"/>
    <d v="2023-01-01T00:00:00"/>
    <d v="2023-02-01T11:00:00"/>
    <x v="4"/>
    <x v="0"/>
    <s v="Afternoon"/>
    <n v="5"/>
    <n v="12"/>
    <s v="Plan B"/>
  </r>
  <r>
    <s v="PAT5442"/>
    <n v="78"/>
    <x v="2"/>
    <x v="5"/>
    <d v="2023-04-20T00:00:00"/>
    <d v="2023-04-29T00:00:00"/>
    <n v="9"/>
    <x v="4"/>
    <n v="3"/>
    <s v="Dr. Patel"/>
    <n v="38787"/>
    <x v="4"/>
    <x v="1"/>
    <x v="0"/>
    <d v="2023-04-16T00:00:00"/>
    <d v="2023-04-16T14:00:00"/>
    <x v="1"/>
    <x v="0"/>
    <s v="Afternoon"/>
    <n v="9"/>
    <n v="12"/>
    <s v="Plan B"/>
  </r>
  <r>
    <s v="PAT5443"/>
    <n v="69"/>
    <x v="2"/>
    <x v="0"/>
    <d v="2024-11-03T00:00:00"/>
    <d v="2024-03-20T00:00:00"/>
    <n v="9"/>
    <x v="2"/>
    <n v="1"/>
    <s v="Dr. Rao"/>
    <n v="49225"/>
    <x v="0"/>
    <x v="0"/>
    <x v="1"/>
    <d v="2024-10-03T00:00:00"/>
    <d v="2024-11-03T04:00:00"/>
    <x v="3"/>
    <x v="0"/>
    <s v="Night"/>
    <n v="10"/>
    <n v="10"/>
    <s v="Plan B"/>
  </r>
  <r>
    <s v="PAT5444"/>
    <n v="47"/>
    <x v="4"/>
    <x v="3"/>
    <d v="2023-08-13T00:00:00"/>
    <d v="2023-08-17T00:00:00"/>
    <n v="4"/>
    <x v="1"/>
    <n v="5"/>
    <s v="Dr. Rao"/>
    <n v="6403"/>
    <x v="0"/>
    <x v="1"/>
    <x v="0"/>
    <d v="2023-12-08T00:00:00"/>
    <d v="2023-12-08T07:00:00"/>
    <x v="3"/>
    <x v="0"/>
    <s v="Morning"/>
    <n v="4"/>
    <n v="10"/>
    <s v="Plan C"/>
  </r>
  <r>
    <s v="PAT5445"/>
    <n v="62"/>
    <x v="0"/>
    <x v="2"/>
    <d v="2023-06-30T00:00:00"/>
    <d v="2023-07-15T00:00:00"/>
    <n v="15"/>
    <x v="0"/>
    <n v="4"/>
    <s v="Dr. Rao"/>
    <n v="22810"/>
    <x v="2"/>
    <x v="0"/>
    <x v="0"/>
    <d v="2023-06-30T00:00:00"/>
    <d v="2023-02-07T00:00:00"/>
    <x v="3"/>
    <x v="0"/>
    <s v="Night"/>
    <n v="5"/>
    <n v="8"/>
    <s v="Plan C"/>
  </r>
  <r>
    <s v="PAT5446"/>
    <n v="69"/>
    <x v="2"/>
    <x v="0"/>
    <d v="2024-06-14T00:00:00"/>
    <d v="2024-06-27T00:00:00"/>
    <n v="13"/>
    <x v="2"/>
    <n v="5"/>
    <s v="Dr. Rao"/>
    <n v="13855"/>
    <x v="1"/>
    <x v="1"/>
    <x v="1"/>
    <d v="2024-09-06T00:00:00"/>
    <d v="2024-10-06T18:00:00"/>
    <x v="3"/>
    <x v="0"/>
    <s v="Afternoon"/>
    <n v="5"/>
    <n v="8"/>
    <s v="Plan B"/>
  </r>
  <r>
    <s v="PAT5447"/>
    <n v="76"/>
    <x v="2"/>
    <x v="0"/>
    <d v="2024-04-20T00:00:00"/>
    <d v="2024-04-26T00:00:00"/>
    <n v="6"/>
    <x v="3"/>
    <n v="1"/>
    <s v="Dr. Sharma"/>
    <n v="43636"/>
    <x v="4"/>
    <x v="1"/>
    <x v="0"/>
    <d v="2024-04-16T00:00:00"/>
    <d v="2024-04-16T16:00:00"/>
    <x v="0"/>
    <x v="0"/>
    <s v="Morning"/>
    <n v="9"/>
    <n v="12"/>
    <s v="Plan A"/>
  </r>
  <r>
    <s v="PAT5448"/>
    <n v="16"/>
    <x v="1"/>
    <x v="4"/>
    <d v="2023-02-21T00:00:00"/>
    <d v="2023-02-27T00:00:00"/>
    <n v="6"/>
    <x v="1"/>
    <n v="3"/>
    <s v="Dr. Sharma"/>
    <n v="15839"/>
    <x v="3"/>
    <x v="1"/>
    <x v="1"/>
    <d v="2023-02-20T00:00:00"/>
    <d v="2023-02-20T20:00:00"/>
    <x v="0"/>
    <x v="0"/>
    <s v="Morning"/>
    <n v="7"/>
    <n v="10"/>
    <s v="Plan A"/>
  </r>
  <r>
    <s v="PAT5449"/>
    <n v="48"/>
    <x v="4"/>
    <x v="0"/>
    <d v="2023-09-13T00:00:00"/>
    <d v="2023-09-25T00:00:00"/>
    <n v="12"/>
    <x v="2"/>
    <n v="3"/>
    <s v="Dr. Gupta"/>
    <n v="5010"/>
    <x v="0"/>
    <x v="1"/>
    <x v="0"/>
    <d v="2023-08-09T00:00:00"/>
    <d v="2023-08-09T03:00:00"/>
    <x v="2"/>
    <x v="0"/>
    <s v="Afternoon"/>
    <n v="10"/>
    <n v="12"/>
    <s v="Plan C"/>
  </r>
  <r>
    <s v="PAT5450"/>
    <n v="85"/>
    <x v="2"/>
    <x v="4"/>
    <d v="2023-05-05T00:00:00"/>
    <d v="2023-05-19T00:00:00"/>
    <n v="14"/>
    <x v="0"/>
    <n v="4"/>
    <s v="Dr. Mehta"/>
    <n v="44098"/>
    <x v="4"/>
    <x v="0"/>
    <x v="0"/>
    <d v="2023-04-05T00:00:00"/>
    <d v="2023-05-05T05:00:00"/>
    <x v="3"/>
    <x v="0"/>
    <s v="Morning"/>
    <n v="11"/>
    <n v="8"/>
    <s v="Plan B"/>
  </r>
  <r>
    <s v="PAT5451"/>
    <n v="39"/>
    <x v="4"/>
    <x v="1"/>
    <d v="2024-12-04T00:00:00"/>
    <d v="2024-04-23T00:00:00"/>
    <n v="11"/>
    <x v="2"/>
    <n v="5"/>
    <s v="Dr. Patel"/>
    <n v="14230"/>
    <x v="1"/>
    <x v="0"/>
    <x v="0"/>
    <d v="2024-12-04T00:00:00"/>
    <d v="2024-12-04T17:00:00"/>
    <x v="1"/>
    <x v="0"/>
    <s v="Night"/>
    <n v="7"/>
    <n v="12"/>
    <s v="Plan A"/>
  </r>
  <r>
    <s v="PAT5452"/>
    <n v="33"/>
    <x v="3"/>
    <x v="3"/>
    <d v="2023-05-17T00:00:00"/>
    <d v="2023-05-31T00:00:00"/>
    <n v="14"/>
    <x v="2"/>
    <n v="2"/>
    <s v="Dr. Patel"/>
    <n v="45232"/>
    <x v="2"/>
    <x v="1"/>
    <x v="1"/>
    <d v="2023-05-17T00:00:00"/>
    <d v="2023-05-17T23:00:00"/>
    <x v="2"/>
    <x v="0"/>
    <s v="Afternoon"/>
    <n v="8"/>
    <n v="12"/>
    <s v="Plan B"/>
  </r>
  <r>
    <s v="PAT5453"/>
    <n v="23"/>
    <x v="3"/>
    <x v="4"/>
    <d v="2024-04-20T00:00:00"/>
    <d v="2024-04-23T00:00:00"/>
    <n v="3"/>
    <x v="0"/>
    <n v="5"/>
    <s v="Dr. Sharma"/>
    <n v="40771"/>
    <x v="0"/>
    <x v="1"/>
    <x v="0"/>
    <d v="2024-04-17T00:00:00"/>
    <d v="2024-04-17T06:00:00"/>
    <x v="3"/>
    <x v="0"/>
    <s v="Afternoon"/>
    <n v="11"/>
    <n v="12"/>
    <s v="Plan A"/>
  </r>
  <r>
    <s v="PAT5454"/>
    <n v="10"/>
    <x v="1"/>
    <x v="2"/>
    <d v="2023-11-21T00:00:00"/>
    <d v="2023-11-25T00:00:00"/>
    <n v="4"/>
    <x v="1"/>
    <n v="1"/>
    <s v="Dr. Patel"/>
    <n v="34256"/>
    <x v="4"/>
    <x v="1"/>
    <x v="1"/>
    <d v="2023-11-19T00:00:00"/>
    <d v="2023-11-20T05:00:00"/>
    <x v="0"/>
    <x v="0"/>
    <s v="Afternoon"/>
    <n v="4"/>
    <n v="8"/>
    <s v="Plan C"/>
  </r>
  <r>
    <s v="PAT5455"/>
    <n v="69"/>
    <x v="2"/>
    <x v="3"/>
    <d v="2024-03-29T00:00:00"/>
    <d v="2024-03-31T00:00:00"/>
    <n v="2"/>
    <x v="5"/>
    <n v="2"/>
    <s v="Dr. Sharma"/>
    <n v="30651"/>
    <x v="4"/>
    <x v="1"/>
    <x v="1"/>
    <d v="2024-03-24T00:00:00"/>
    <d v="2024-03-24T08:00:00"/>
    <x v="1"/>
    <x v="0"/>
    <s v="Afternoon"/>
    <n v="7"/>
    <n v="12"/>
    <s v="Plan B"/>
  </r>
  <r>
    <s v="PAT5456"/>
    <n v="34"/>
    <x v="3"/>
    <x v="4"/>
    <d v="2024-05-31T00:00:00"/>
    <d v="2024-03-06T00:00:00"/>
    <n v="3"/>
    <x v="1"/>
    <n v="3"/>
    <s v="Dr. Gupta"/>
    <n v="37383"/>
    <x v="4"/>
    <x v="1"/>
    <x v="1"/>
    <d v="2024-05-28T00:00:00"/>
    <d v="2024-05-28T16:00:00"/>
    <x v="2"/>
    <x v="1"/>
    <s v="Morning"/>
    <n v="9"/>
    <n v="8"/>
    <s v="Plan B"/>
  </r>
  <r>
    <s v="PAT5457"/>
    <n v="52"/>
    <x v="0"/>
    <x v="3"/>
    <d v="2024-12-03T00:00:00"/>
    <d v="2024-03-17T00:00:00"/>
    <n v="5"/>
    <x v="4"/>
    <n v="4"/>
    <s v="Dr. Mehta"/>
    <n v="44963"/>
    <x v="1"/>
    <x v="0"/>
    <x v="1"/>
    <d v="2024-12-03T00:00:00"/>
    <d v="2024-12-03T14:00:00"/>
    <x v="1"/>
    <x v="0"/>
    <s v="Afternoon"/>
    <n v="10"/>
    <n v="10"/>
    <s v="Plan A"/>
  </r>
  <r>
    <s v="PAT5458"/>
    <n v="10"/>
    <x v="1"/>
    <x v="3"/>
    <d v="2024-01-04T00:00:00"/>
    <d v="2024-05-04T00:00:00"/>
    <n v="4"/>
    <x v="0"/>
    <n v="4"/>
    <s v="Dr. Gupta"/>
    <n v="18662"/>
    <x v="1"/>
    <x v="0"/>
    <x v="0"/>
    <d v="2024-03-27T00:00:00"/>
    <d v="2024-03-29T00:00:00"/>
    <x v="3"/>
    <x v="0"/>
    <s v="Afternoon"/>
    <n v="7"/>
    <n v="12"/>
    <s v="Plan A"/>
  </r>
  <r>
    <s v="PAT5459"/>
    <n v="19"/>
    <x v="3"/>
    <x v="3"/>
    <d v="2023-12-06T00:00:00"/>
    <d v="2023-06-15T00:00:00"/>
    <n v="3"/>
    <x v="1"/>
    <n v="3"/>
    <s v="Dr. Rao"/>
    <n v="18739"/>
    <x v="1"/>
    <x v="0"/>
    <x v="1"/>
    <d v="2023-11-06T00:00:00"/>
    <d v="2023-12-06T14:00:00"/>
    <x v="4"/>
    <x v="0"/>
    <s v="Morning"/>
    <n v="8"/>
    <n v="12"/>
    <s v="Plan A"/>
  </r>
  <r>
    <s v="PAT5460"/>
    <n v="58"/>
    <x v="0"/>
    <x v="1"/>
    <d v="2024-01-05T00:00:00"/>
    <d v="2024-11-05T00:00:00"/>
    <n v="10"/>
    <x v="2"/>
    <n v="1"/>
    <s v="Dr. Rao"/>
    <n v="6789"/>
    <x v="3"/>
    <x v="0"/>
    <x v="0"/>
    <d v="2024-01-05T00:00:00"/>
    <d v="2024-02-05T21:00:00"/>
    <x v="1"/>
    <x v="0"/>
    <s v="Afternoon"/>
    <n v="6"/>
    <n v="8"/>
    <s v="Plan B"/>
  </r>
  <r>
    <s v="PAT5461"/>
    <n v="1"/>
    <x v="1"/>
    <x v="2"/>
    <d v="2024-05-04T00:00:00"/>
    <d v="2024-08-04T00:00:00"/>
    <n v="3"/>
    <x v="0"/>
    <n v="3"/>
    <s v="Dr. Rao"/>
    <n v="24420"/>
    <x v="4"/>
    <x v="0"/>
    <x v="0"/>
    <d v="2024-01-04T00:00:00"/>
    <d v="2024-01-04T23:00:00"/>
    <x v="1"/>
    <x v="0"/>
    <s v="Morning"/>
    <n v="8"/>
    <n v="12"/>
    <s v="Plan C"/>
  </r>
  <r>
    <s v="PAT5462"/>
    <n v="69"/>
    <x v="2"/>
    <x v="5"/>
    <d v="2023-09-23T00:00:00"/>
    <d v="2023-06-10T00:00:00"/>
    <n v="13"/>
    <x v="3"/>
    <n v="1"/>
    <s v="Dr. Gupta"/>
    <n v="28761"/>
    <x v="0"/>
    <x v="1"/>
    <x v="0"/>
    <d v="2023-09-22T00:00:00"/>
    <d v="2023-09-23T22:00:00"/>
    <x v="0"/>
    <x v="0"/>
    <s v="Morning"/>
    <n v="5"/>
    <n v="8"/>
    <s v="Plan C"/>
  </r>
  <r>
    <s v="PAT5463"/>
    <n v="4"/>
    <x v="1"/>
    <x v="5"/>
    <d v="2023-11-09T00:00:00"/>
    <d v="2023-09-24T00:00:00"/>
    <n v="13"/>
    <x v="1"/>
    <n v="2"/>
    <s v="Dr. Patel"/>
    <n v="45366"/>
    <x v="1"/>
    <x v="1"/>
    <x v="0"/>
    <d v="2023-08-09T00:00:00"/>
    <d v="2023-09-09T16:00:00"/>
    <x v="3"/>
    <x v="0"/>
    <s v="Afternoon"/>
    <n v="11"/>
    <n v="12"/>
    <s v="Plan A"/>
  </r>
  <r>
    <s v="PAT5464"/>
    <n v="16"/>
    <x v="1"/>
    <x v="4"/>
    <d v="2023-11-10T00:00:00"/>
    <d v="2023-10-22T00:00:00"/>
    <n v="11"/>
    <x v="0"/>
    <n v="3"/>
    <s v="Dr. Mehta"/>
    <n v="42606"/>
    <x v="1"/>
    <x v="1"/>
    <x v="0"/>
    <d v="2023-06-10T00:00:00"/>
    <d v="2023-07-10T17:00:00"/>
    <x v="1"/>
    <x v="1"/>
    <s v="Night"/>
    <n v="10"/>
    <n v="10"/>
    <s v="Plan C"/>
  </r>
  <r>
    <s v="PAT5465"/>
    <n v="24"/>
    <x v="3"/>
    <x v="3"/>
    <d v="2024-06-17T00:00:00"/>
    <d v="2024-06-19T00:00:00"/>
    <n v="2"/>
    <x v="1"/>
    <n v="1"/>
    <s v="Dr. Rao"/>
    <n v="43640"/>
    <x v="4"/>
    <x v="0"/>
    <x v="0"/>
    <d v="2024-06-14T00:00:00"/>
    <d v="2024-06-15T04:00:00"/>
    <x v="3"/>
    <x v="0"/>
    <s v="Afternoon"/>
    <n v="5"/>
    <n v="10"/>
    <s v="Plan A"/>
  </r>
  <r>
    <s v="PAT5466"/>
    <n v="80"/>
    <x v="2"/>
    <x v="4"/>
    <d v="2024-11-05T00:00:00"/>
    <d v="2024-05-14T00:00:00"/>
    <n v="3"/>
    <x v="0"/>
    <n v="2"/>
    <s v="Dr. Rao"/>
    <n v="49135"/>
    <x v="1"/>
    <x v="0"/>
    <x v="1"/>
    <d v="2024-08-05T00:00:00"/>
    <d v="2024-08-05T11:00:00"/>
    <x v="0"/>
    <x v="0"/>
    <s v="Night"/>
    <n v="7"/>
    <n v="10"/>
    <s v="Plan C"/>
  </r>
  <r>
    <s v="PAT5467"/>
    <n v="2"/>
    <x v="1"/>
    <x v="1"/>
    <d v="2023-02-09T00:00:00"/>
    <d v="2023-09-15T00:00:00"/>
    <n v="13"/>
    <x v="2"/>
    <n v="3"/>
    <s v="Dr. Rao"/>
    <n v="42067"/>
    <x v="3"/>
    <x v="0"/>
    <x v="0"/>
    <d v="2023-08-28T00:00:00"/>
    <d v="2023-08-29T16:00:00"/>
    <x v="3"/>
    <x v="1"/>
    <s v="Morning"/>
    <n v="7"/>
    <n v="12"/>
    <s v="Plan B"/>
  </r>
  <r>
    <s v="PAT5468"/>
    <n v="32"/>
    <x v="3"/>
    <x v="1"/>
    <d v="2023-09-10T00:00:00"/>
    <d v="2023-10-20T00:00:00"/>
    <n v="11"/>
    <x v="3"/>
    <n v="4"/>
    <s v="Dr. Mehta"/>
    <n v="22357"/>
    <x v="3"/>
    <x v="0"/>
    <x v="1"/>
    <d v="2023-08-10T00:00:00"/>
    <d v="2023-08-10T09:00:00"/>
    <x v="0"/>
    <x v="0"/>
    <s v="Night"/>
    <n v="8"/>
    <n v="12"/>
    <s v="Plan A"/>
  </r>
  <r>
    <s v="PAT5469"/>
    <n v="84"/>
    <x v="2"/>
    <x v="0"/>
    <d v="2024-03-26T00:00:00"/>
    <d v="2024-03-04T00:00:00"/>
    <n v="8"/>
    <x v="3"/>
    <n v="3"/>
    <s v="Dr. Rao"/>
    <n v="44851"/>
    <x v="1"/>
    <x v="0"/>
    <x v="1"/>
    <d v="2024-03-24T00:00:00"/>
    <d v="2024-03-24T14:00:00"/>
    <x v="0"/>
    <x v="1"/>
    <s v="Afternoon"/>
    <n v="8"/>
    <n v="10"/>
    <s v="Plan C"/>
  </r>
  <r>
    <s v="PAT5470"/>
    <n v="24"/>
    <x v="3"/>
    <x v="1"/>
    <d v="2023-03-21T00:00:00"/>
    <d v="2023-03-29T00:00:00"/>
    <n v="8"/>
    <x v="4"/>
    <n v="5"/>
    <s v="Dr. Mehta"/>
    <n v="43262"/>
    <x v="4"/>
    <x v="0"/>
    <x v="1"/>
    <d v="2023-03-19T00:00:00"/>
    <d v="2023-03-19T14:00:00"/>
    <x v="2"/>
    <x v="1"/>
    <s v="Afternoon"/>
    <n v="9"/>
    <n v="10"/>
    <s v="Plan B"/>
  </r>
  <r>
    <s v="PAT5471"/>
    <n v="12"/>
    <x v="1"/>
    <x v="0"/>
    <d v="2023-10-20T00:00:00"/>
    <d v="2023-02-11T00:00:00"/>
    <n v="13"/>
    <x v="0"/>
    <n v="3"/>
    <s v="Dr. Rao"/>
    <n v="16317"/>
    <x v="4"/>
    <x v="1"/>
    <x v="0"/>
    <d v="2023-10-18T00:00:00"/>
    <d v="2023-10-18T04:00:00"/>
    <x v="3"/>
    <x v="0"/>
    <s v="Night"/>
    <n v="4"/>
    <n v="8"/>
    <s v="Plan C"/>
  </r>
  <r>
    <s v="PAT5472"/>
    <n v="50"/>
    <x v="4"/>
    <x v="2"/>
    <d v="2023-08-29T00:00:00"/>
    <d v="2023-08-09T00:00:00"/>
    <n v="10"/>
    <x v="1"/>
    <n v="5"/>
    <s v="Dr. Gupta"/>
    <n v="26534"/>
    <x v="4"/>
    <x v="0"/>
    <x v="1"/>
    <d v="2023-08-24T00:00:00"/>
    <d v="2023-08-25T13:00:00"/>
    <x v="4"/>
    <x v="0"/>
    <s v="Afternoon"/>
    <n v="9"/>
    <n v="8"/>
    <s v="Plan B"/>
  </r>
  <r>
    <s v="PAT5473"/>
    <n v="35"/>
    <x v="3"/>
    <x v="4"/>
    <d v="2023-06-10T00:00:00"/>
    <d v="2023-10-19T00:00:00"/>
    <n v="13"/>
    <x v="3"/>
    <n v="2"/>
    <s v="Dr. Gupta"/>
    <n v="30734"/>
    <x v="2"/>
    <x v="1"/>
    <x v="0"/>
    <d v="2023-06-10T00:00:00"/>
    <d v="2023-06-10T23:00:00"/>
    <x v="2"/>
    <x v="0"/>
    <s v="Night"/>
    <n v="5"/>
    <n v="10"/>
    <s v="Plan B"/>
  </r>
  <r>
    <s v="PAT5474"/>
    <n v="33"/>
    <x v="3"/>
    <x v="2"/>
    <d v="2023-10-12T00:00:00"/>
    <d v="2023-12-20T00:00:00"/>
    <n v="10"/>
    <x v="3"/>
    <n v="3"/>
    <s v="Dr. Mehta"/>
    <n v="40897"/>
    <x v="1"/>
    <x v="1"/>
    <x v="1"/>
    <d v="2023-10-12T00:00:00"/>
    <d v="2023-11-12T11:00:00"/>
    <x v="0"/>
    <x v="0"/>
    <s v="Morning"/>
    <n v="9"/>
    <n v="10"/>
    <s v="Plan C"/>
  </r>
  <r>
    <s v="PAT5475"/>
    <n v="33"/>
    <x v="3"/>
    <x v="1"/>
    <d v="2023-11-24T00:00:00"/>
    <d v="2023-02-12T00:00:00"/>
    <n v="8"/>
    <x v="5"/>
    <n v="2"/>
    <s v="Dr. Gupta"/>
    <n v="37872"/>
    <x v="4"/>
    <x v="0"/>
    <x v="0"/>
    <d v="2023-11-19T00:00:00"/>
    <d v="2023-11-19T18:00:00"/>
    <x v="4"/>
    <x v="1"/>
    <s v="Night"/>
    <n v="8"/>
    <n v="12"/>
    <s v="Plan C"/>
  </r>
  <r>
    <s v="PAT5476"/>
    <n v="61"/>
    <x v="0"/>
    <x v="2"/>
    <d v="2023-03-24T00:00:00"/>
    <d v="2023-04-04T00:00:00"/>
    <n v="11"/>
    <x v="5"/>
    <n v="2"/>
    <s v="Dr. Mehta"/>
    <n v="45201"/>
    <x v="3"/>
    <x v="0"/>
    <x v="1"/>
    <d v="2023-03-20T00:00:00"/>
    <d v="2023-03-21T15:00:00"/>
    <x v="1"/>
    <x v="0"/>
    <s v="Night"/>
    <n v="10"/>
    <n v="10"/>
    <s v="Plan B"/>
  </r>
  <r>
    <s v="PAT5477"/>
    <n v="51"/>
    <x v="0"/>
    <x v="2"/>
    <d v="2023-05-22T00:00:00"/>
    <d v="2023-06-06T00:00:00"/>
    <n v="15"/>
    <x v="3"/>
    <n v="1"/>
    <s v="Dr. Gupta"/>
    <n v="12689"/>
    <x v="0"/>
    <x v="1"/>
    <x v="1"/>
    <d v="2023-05-21T00:00:00"/>
    <d v="2023-05-22T11:00:00"/>
    <x v="1"/>
    <x v="0"/>
    <s v="Night"/>
    <n v="9"/>
    <n v="8"/>
    <s v="Plan B"/>
  </r>
  <r>
    <s v="PAT5478"/>
    <n v="43"/>
    <x v="4"/>
    <x v="2"/>
    <d v="2023-04-06T00:00:00"/>
    <d v="2023-06-19T00:00:00"/>
    <n v="15"/>
    <x v="0"/>
    <n v="2"/>
    <s v="Dr. Gupta"/>
    <n v="8567"/>
    <x v="0"/>
    <x v="1"/>
    <x v="0"/>
    <d v="2023-05-31T00:00:00"/>
    <d v="2023-05-31T11:00:00"/>
    <x v="2"/>
    <x v="0"/>
    <s v="Night"/>
    <n v="6"/>
    <n v="8"/>
    <s v="Plan B"/>
  </r>
  <r>
    <s v="PAT5479"/>
    <n v="12"/>
    <x v="1"/>
    <x v="1"/>
    <d v="2023-08-25T00:00:00"/>
    <d v="2023-04-09T00:00:00"/>
    <n v="10"/>
    <x v="4"/>
    <n v="2"/>
    <s v="Dr. Mehta"/>
    <n v="25732"/>
    <x v="4"/>
    <x v="0"/>
    <x v="1"/>
    <d v="2023-08-20T00:00:00"/>
    <d v="2023-08-20T21:00:00"/>
    <x v="4"/>
    <x v="0"/>
    <s v="Morning"/>
    <n v="11"/>
    <n v="8"/>
    <s v="Plan A"/>
  </r>
  <r>
    <s v="PAT5480"/>
    <n v="67"/>
    <x v="2"/>
    <x v="3"/>
    <d v="2024-01-28T00:00:00"/>
    <d v="2024-08-02T00:00:00"/>
    <n v="11"/>
    <x v="3"/>
    <n v="3"/>
    <s v="Dr. Patel"/>
    <n v="25774"/>
    <x v="0"/>
    <x v="1"/>
    <x v="0"/>
    <d v="2024-01-23T00:00:00"/>
    <d v="2024-01-24T22:00:00"/>
    <x v="3"/>
    <x v="0"/>
    <s v="Morning"/>
    <n v="4"/>
    <n v="8"/>
    <s v="Plan B"/>
  </r>
  <r>
    <s v="PAT5481"/>
    <n v="65"/>
    <x v="0"/>
    <x v="2"/>
    <d v="2023-06-06T00:00:00"/>
    <d v="2023-06-17T00:00:00"/>
    <n v="11"/>
    <x v="2"/>
    <n v="3"/>
    <s v="Dr. Gupta"/>
    <n v="28195"/>
    <x v="0"/>
    <x v="0"/>
    <x v="0"/>
    <d v="2023-06-06T00:00:00"/>
    <d v="2023-06-06T19:00:00"/>
    <x v="4"/>
    <x v="0"/>
    <s v="Morning"/>
    <n v="8"/>
    <n v="8"/>
    <s v="Plan A"/>
  </r>
  <r>
    <s v="PAT5482"/>
    <n v="33"/>
    <x v="3"/>
    <x v="0"/>
    <d v="2023-08-08T00:00:00"/>
    <d v="2023-08-18T00:00:00"/>
    <n v="10"/>
    <x v="1"/>
    <n v="4"/>
    <s v="Dr. Rao"/>
    <n v="42412"/>
    <x v="2"/>
    <x v="1"/>
    <x v="1"/>
    <d v="2023-07-08T00:00:00"/>
    <d v="2023-07-08T19:00:00"/>
    <x v="2"/>
    <x v="0"/>
    <s v="Night"/>
    <n v="10"/>
    <n v="8"/>
    <s v="Plan B"/>
  </r>
  <r>
    <s v="PAT5483"/>
    <n v="40"/>
    <x v="4"/>
    <x v="1"/>
    <d v="2023-07-03T00:00:00"/>
    <d v="2023-03-13T00:00:00"/>
    <n v="6"/>
    <x v="4"/>
    <n v="1"/>
    <s v="Dr. Patel"/>
    <n v="49098"/>
    <x v="3"/>
    <x v="1"/>
    <x v="0"/>
    <d v="2023-04-03T00:00:00"/>
    <d v="2023-05-03T13:00:00"/>
    <x v="3"/>
    <x v="0"/>
    <s v="Morning"/>
    <n v="7"/>
    <n v="10"/>
    <s v="Plan A"/>
  </r>
  <r>
    <s v="PAT5484"/>
    <n v="74"/>
    <x v="2"/>
    <x v="2"/>
    <d v="2024-02-29T00:00:00"/>
    <d v="2024-03-14T00:00:00"/>
    <n v="14"/>
    <x v="2"/>
    <n v="2"/>
    <s v="Dr. Mehta"/>
    <n v="27257"/>
    <x v="3"/>
    <x v="1"/>
    <x v="1"/>
    <d v="2024-02-28T00:00:00"/>
    <d v="2024-02-28T18:00:00"/>
    <x v="3"/>
    <x v="1"/>
    <s v="Afternoon"/>
    <n v="11"/>
    <n v="8"/>
    <s v="Plan B"/>
  </r>
  <r>
    <s v="PAT5485"/>
    <n v="43"/>
    <x v="4"/>
    <x v="3"/>
    <d v="2024-02-22T00:00:00"/>
    <d v="2024-04-03T00:00:00"/>
    <n v="11"/>
    <x v="4"/>
    <n v="1"/>
    <s v="Dr. Patel"/>
    <n v="9394"/>
    <x v="2"/>
    <x v="1"/>
    <x v="0"/>
    <d v="2024-02-22T00:00:00"/>
    <d v="2024-02-23T09:00:00"/>
    <x v="1"/>
    <x v="0"/>
    <s v="Morning"/>
    <n v="9"/>
    <n v="8"/>
    <s v="Plan B"/>
  </r>
  <r>
    <s v="PAT5486"/>
    <n v="44"/>
    <x v="4"/>
    <x v="1"/>
    <d v="2023-05-12T00:00:00"/>
    <d v="2023-11-12T00:00:00"/>
    <n v="6"/>
    <x v="2"/>
    <n v="5"/>
    <s v="Dr. Sharma"/>
    <n v="41302"/>
    <x v="2"/>
    <x v="1"/>
    <x v="1"/>
    <d v="2023-02-12T00:00:00"/>
    <d v="2023-03-12T20:00:00"/>
    <x v="4"/>
    <x v="0"/>
    <s v="Night"/>
    <n v="8"/>
    <n v="8"/>
    <s v="Plan B"/>
  </r>
  <r>
    <s v="PAT5487"/>
    <n v="29"/>
    <x v="3"/>
    <x v="5"/>
    <d v="2024-04-22T00:00:00"/>
    <d v="2024-04-25T00:00:00"/>
    <n v="3"/>
    <x v="1"/>
    <n v="2"/>
    <s v="Dr. Sharma"/>
    <n v="27228"/>
    <x v="0"/>
    <x v="0"/>
    <x v="0"/>
    <d v="2024-04-19T00:00:00"/>
    <d v="2024-04-19T07:00:00"/>
    <x v="3"/>
    <x v="0"/>
    <s v="Afternoon"/>
    <n v="7"/>
    <n v="8"/>
    <s v="Plan C"/>
  </r>
  <r>
    <s v="PAT5488"/>
    <n v="13"/>
    <x v="1"/>
    <x v="3"/>
    <d v="2024-01-03T00:00:00"/>
    <d v="2024-09-03T00:00:00"/>
    <n v="8"/>
    <x v="1"/>
    <n v="1"/>
    <s v="Dr. Gupta"/>
    <n v="17388"/>
    <x v="1"/>
    <x v="1"/>
    <x v="1"/>
    <d v="2024-02-29T00:00:00"/>
    <d v="2024-02-29T09:00:00"/>
    <x v="2"/>
    <x v="0"/>
    <s v="Night"/>
    <n v="7"/>
    <n v="10"/>
    <s v="Plan C"/>
  </r>
  <r>
    <s v="PAT5489"/>
    <n v="12"/>
    <x v="1"/>
    <x v="0"/>
    <d v="2023-05-03T00:00:00"/>
    <d v="2023-07-03T00:00:00"/>
    <n v="2"/>
    <x v="5"/>
    <n v="4"/>
    <s v="Dr. Gupta"/>
    <n v="16319"/>
    <x v="0"/>
    <x v="1"/>
    <x v="0"/>
    <d v="2023-02-28T00:00:00"/>
    <d v="2023-01-03T03:00:00"/>
    <x v="1"/>
    <x v="0"/>
    <s v="Afternoon"/>
    <n v="5"/>
    <n v="12"/>
    <s v="Plan B"/>
  </r>
  <r>
    <s v="PAT5490"/>
    <n v="46"/>
    <x v="4"/>
    <x v="2"/>
    <d v="2023-07-31T00:00:00"/>
    <d v="2023-08-08T00:00:00"/>
    <n v="8"/>
    <x v="0"/>
    <n v="4"/>
    <s v="Dr. Rao"/>
    <n v="11475"/>
    <x v="2"/>
    <x v="1"/>
    <x v="0"/>
    <d v="2023-07-29T00:00:00"/>
    <d v="2023-07-29T04:00:00"/>
    <x v="3"/>
    <x v="1"/>
    <s v="Night"/>
    <n v="5"/>
    <n v="12"/>
    <s v="Plan A"/>
  </r>
  <r>
    <s v="PAT5491"/>
    <n v="2"/>
    <x v="1"/>
    <x v="5"/>
    <d v="2024-06-03T00:00:00"/>
    <d v="2024-03-14T00:00:00"/>
    <n v="8"/>
    <x v="2"/>
    <n v="2"/>
    <s v="Dr. Patel"/>
    <n v="36555"/>
    <x v="3"/>
    <x v="1"/>
    <x v="0"/>
    <d v="2024-06-03T00:00:00"/>
    <d v="2024-06-03T18:00:00"/>
    <x v="4"/>
    <x v="0"/>
    <s v="Night"/>
    <n v="10"/>
    <n v="12"/>
    <s v="Plan A"/>
  </r>
  <r>
    <s v="PAT5492"/>
    <n v="35"/>
    <x v="3"/>
    <x v="5"/>
    <d v="2024-03-02T00:00:00"/>
    <d v="2024-02-14T00:00:00"/>
    <n v="11"/>
    <x v="5"/>
    <n v="5"/>
    <s v="Dr. Sharma"/>
    <n v="23158"/>
    <x v="0"/>
    <x v="0"/>
    <x v="0"/>
    <d v="2024-03-02T00:00:00"/>
    <d v="2024-04-02T18:00:00"/>
    <x v="1"/>
    <x v="0"/>
    <s v="Afternoon"/>
    <n v="8"/>
    <n v="12"/>
    <s v="Plan B"/>
  </r>
  <r>
    <s v="PAT5493"/>
    <n v="87"/>
    <x v="2"/>
    <x v="1"/>
    <d v="2023-01-21T00:00:00"/>
    <d v="2023-01-26T00:00:00"/>
    <n v="5"/>
    <x v="2"/>
    <n v="4"/>
    <s v="Dr. Gupta"/>
    <n v="19728"/>
    <x v="1"/>
    <x v="1"/>
    <x v="0"/>
    <d v="2023-01-19T00:00:00"/>
    <d v="2023-01-19T09:00:00"/>
    <x v="4"/>
    <x v="0"/>
    <s v="Morning"/>
    <n v="11"/>
    <n v="8"/>
    <s v="Plan C"/>
  </r>
  <r>
    <s v="PAT5494"/>
    <n v="81"/>
    <x v="2"/>
    <x v="5"/>
    <d v="2024-01-25T00:00:00"/>
    <d v="2024-07-02T00:00:00"/>
    <n v="13"/>
    <x v="5"/>
    <n v="4"/>
    <s v="Dr. Patel"/>
    <n v="49774"/>
    <x v="0"/>
    <x v="0"/>
    <x v="0"/>
    <d v="2024-01-21T00:00:00"/>
    <d v="2024-01-22T21:00:00"/>
    <x v="4"/>
    <x v="0"/>
    <s v="Afternoon"/>
    <n v="10"/>
    <n v="12"/>
    <s v="Plan A"/>
  </r>
  <r>
    <s v="PAT5495"/>
    <n v="8"/>
    <x v="1"/>
    <x v="0"/>
    <d v="2024-03-05T00:00:00"/>
    <d v="2024-08-05T00:00:00"/>
    <n v="5"/>
    <x v="1"/>
    <n v="5"/>
    <s v="Dr. Gupta"/>
    <n v="34545"/>
    <x v="4"/>
    <x v="1"/>
    <x v="1"/>
    <d v="2024-04-29T00:00:00"/>
    <d v="2024-04-29T09:00:00"/>
    <x v="4"/>
    <x v="0"/>
    <s v="Afternoon"/>
    <n v="8"/>
    <n v="12"/>
    <s v="Plan C"/>
  </r>
  <r>
    <s v="PAT5496"/>
    <n v="26"/>
    <x v="3"/>
    <x v="0"/>
    <d v="2023-07-01T00:00:00"/>
    <d v="2023-01-17T00:00:00"/>
    <n v="10"/>
    <x v="4"/>
    <n v="1"/>
    <s v="Dr. Gupta"/>
    <n v="36100"/>
    <x v="0"/>
    <x v="1"/>
    <x v="1"/>
    <d v="2023-07-01T00:00:00"/>
    <d v="2023-07-01T16:00:00"/>
    <x v="1"/>
    <x v="0"/>
    <s v="Afternoon"/>
    <n v="6"/>
    <n v="10"/>
    <s v="Plan A"/>
  </r>
  <r>
    <s v="PAT5497"/>
    <n v="74"/>
    <x v="2"/>
    <x v="4"/>
    <d v="2023-12-27T00:00:00"/>
    <d v="2023-12-28T00:00:00"/>
    <n v="1"/>
    <x v="5"/>
    <n v="4"/>
    <s v="Dr. Sharma"/>
    <n v="21150"/>
    <x v="2"/>
    <x v="1"/>
    <x v="1"/>
    <d v="2023-12-25T00:00:00"/>
    <d v="2023-12-25T10:00:00"/>
    <x v="3"/>
    <x v="0"/>
    <s v="Afternoon"/>
    <n v="4"/>
    <n v="10"/>
    <s v="Plan B"/>
  </r>
  <r>
    <s v="PAT5498"/>
    <n v="34"/>
    <x v="3"/>
    <x v="0"/>
    <d v="2023-02-11T00:00:00"/>
    <d v="2023-08-11T00:00:00"/>
    <n v="6"/>
    <x v="2"/>
    <n v="3"/>
    <s v="Dr. Sharma"/>
    <n v="38214"/>
    <x v="3"/>
    <x v="1"/>
    <x v="0"/>
    <d v="2023-10-31T00:00:00"/>
    <d v="2023-01-11T22:00:00"/>
    <x v="0"/>
    <x v="0"/>
    <s v="Afternoon"/>
    <n v="4"/>
    <n v="10"/>
    <s v="Plan C"/>
  </r>
  <r>
    <s v="PAT5499"/>
    <n v="7"/>
    <x v="1"/>
    <x v="3"/>
    <d v="2024-04-02T00:00:00"/>
    <d v="2024-02-13T00:00:00"/>
    <n v="9"/>
    <x v="2"/>
    <n v="4"/>
    <s v="Dr. Gupta"/>
    <n v="37876"/>
    <x v="3"/>
    <x v="0"/>
    <x v="0"/>
    <d v="2024-01-02T00:00:00"/>
    <d v="2024-01-02T21:00:00"/>
    <x v="3"/>
    <x v="0"/>
    <s v="Night"/>
    <n v="11"/>
    <n v="8"/>
    <s v="Plan A"/>
  </r>
  <r>
    <s v="PAT5500"/>
    <n v="68"/>
    <x v="2"/>
    <x v="5"/>
    <d v="2024-05-03T00:00:00"/>
    <d v="2024-07-03T00:00:00"/>
    <n v="2"/>
    <x v="0"/>
    <n v="1"/>
    <s v="Dr. Mehta"/>
    <n v="8239"/>
    <x v="2"/>
    <x v="1"/>
    <x v="0"/>
    <d v="2024-02-29T00:00:00"/>
    <d v="2024-02-29T16:00:00"/>
    <x v="1"/>
    <x v="0"/>
    <s v="Night"/>
    <n v="8"/>
    <n v="8"/>
    <s v="Plan B"/>
  </r>
  <r>
    <s v="PAT5501"/>
    <n v="58"/>
    <x v="0"/>
    <x v="0"/>
    <d v="2023-08-14T00:00:00"/>
    <d v="2023-08-19T00:00:00"/>
    <n v="5"/>
    <x v="1"/>
    <n v="1"/>
    <s v="Dr. Gupta"/>
    <n v="43699"/>
    <x v="4"/>
    <x v="0"/>
    <x v="1"/>
    <d v="2023-10-08T00:00:00"/>
    <d v="2023-11-08T20:00:00"/>
    <x v="0"/>
    <x v="0"/>
    <s v="Morning"/>
    <n v="5"/>
    <n v="8"/>
    <s v="Plan B"/>
  </r>
  <r>
    <s v="PAT5502"/>
    <n v="75"/>
    <x v="2"/>
    <x v="1"/>
    <d v="2024-05-14T00:00:00"/>
    <d v="2024-05-22T00:00:00"/>
    <n v="8"/>
    <x v="2"/>
    <n v="2"/>
    <s v="Dr. Gupta"/>
    <n v="41821"/>
    <x v="2"/>
    <x v="1"/>
    <x v="0"/>
    <d v="2024-10-05T00:00:00"/>
    <d v="2024-11-05T02:00:00"/>
    <x v="0"/>
    <x v="0"/>
    <s v="Morning"/>
    <n v="11"/>
    <n v="10"/>
    <s v="Plan B"/>
  </r>
  <r>
    <s v="PAT5503"/>
    <n v="29"/>
    <x v="3"/>
    <x v="4"/>
    <d v="2023-08-13T00:00:00"/>
    <d v="2023-08-21T00:00:00"/>
    <n v="8"/>
    <x v="3"/>
    <n v="3"/>
    <s v="Dr. Rao"/>
    <n v="35615"/>
    <x v="0"/>
    <x v="0"/>
    <x v="1"/>
    <d v="2023-10-08T00:00:00"/>
    <d v="2023-11-08T08:00:00"/>
    <x v="0"/>
    <x v="1"/>
    <s v="Afternoon"/>
    <n v="9"/>
    <n v="12"/>
    <s v="Plan C"/>
  </r>
  <r>
    <s v="PAT5504"/>
    <n v="36"/>
    <x v="4"/>
    <x v="5"/>
    <d v="2023-07-10T00:00:00"/>
    <d v="2023-08-10T00:00:00"/>
    <n v="1"/>
    <x v="4"/>
    <n v="1"/>
    <s v="Dr. Rao"/>
    <n v="18746"/>
    <x v="2"/>
    <x v="0"/>
    <x v="0"/>
    <d v="2023-06-10T00:00:00"/>
    <d v="2023-06-10T10:00:00"/>
    <x v="2"/>
    <x v="0"/>
    <s v="Morning"/>
    <n v="10"/>
    <n v="10"/>
    <s v="Plan C"/>
  </r>
  <r>
    <s v="PAT5505"/>
    <n v="89"/>
    <x v="2"/>
    <x v="4"/>
    <d v="2024-03-22T00:00:00"/>
    <d v="2024-03-23T00:00:00"/>
    <n v="1"/>
    <x v="5"/>
    <n v="5"/>
    <s v="Dr. Rao"/>
    <n v="25921"/>
    <x v="2"/>
    <x v="1"/>
    <x v="0"/>
    <d v="2024-03-18T00:00:00"/>
    <d v="2024-03-19T13:00:00"/>
    <x v="1"/>
    <x v="0"/>
    <s v="Morning"/>
    <n v="6"/>
    <n v="8"/>
    <s v="Plan B"/>
  </r>
  <r>
    <s v="PAT5506"/>
    <n v="21"/>
    <x v="3"/>
    <x v="5"/>
    <d v="2024-12-05T00:00:00"/>
    <d v="2024-05-18T00:00:00"/>
    <n v="6"/>
    <x v="0"/>
    <n v="3"/>
    <s v="Dr. Mehta"/>
    <n v="27745"/>
    <x v="4"/>
    <x v="1"/>
    <x v="0"/>
    <d v="2024-09-05T00:00:00"/>
    <d v="2024-10-05T17:00:00"/>
    <x v="2"/>
    <x v="1"/>
    <s v="Afternoon"/>
    <n v="4"/>
    <n v="10"/>
    <s v="Plan C"/>
  </r>
  <r>
    <s v="PAT5507"/>
    <n v="36"/>
    <x v="4"/>
    <x v="1"/>
    <d v="2023-01-30T00:00:00"/>
    <d v="2023-02-13T00:00:00"/>
    <n v="14"/>
    <x v="4"/>
    <n v="3"/>
    <s v="Dr. Mehta"/>
    <n v="6245"/>
    <x v="0"/>
    <x v="0"/>
    <x v="0"/>
    <d v="2023-01-28T00:00:00"/>
    <d v="2023-01-28T18:00:00"/>
    <x v="0"/>
    <x v="0"/>
    <s v="Night"/>
    <n v="8"/>
    <n v="12"/>
    <s v="Plan A"/>
  </r>
  <r>
    <s v="PAT5508"/>
    <n v="10"/>
    <x v="1"/>
    <x v="4"/>
    <d v="2024-03-02T00:00:00"/>
    <d v="2024-08-02T00:00:00"/>
    <n v="5"/>
    <x v="1"/>
    <n v="5"/>
    <s v="Dr. Gupta"/>
    <n v="29853"/>
    <x v="1"/>
    <x v="1"/>
    <x v="0"/>
    <d v="2024-02-02T00:00:00"/>
    <d v="2024-03-02T17:00:00"/>
    <x v="2"/>
    <x v="0"/>
    <s v="Night"/>
    <n v="5"/>
    <n v="8"/>
    <s v="Plan B"/>
  </r>
  <r>
    <s v="PAT5509"/>
    <n v="73"/>
    <x v="2"/>
    <x v="2"/>
    <d v="2023-11-12T00:00:00"/>
    <d v="2023-12-13T00:00:00"/>
    <n v="2"/>
    <x v="0"/>
    <n v="4"/>
    <s v="Dr. Rao"/>
    <n v="32632"/>
    <x v="1"/>
    <x v="1"/>
    <x v="1"/>
    <d v="2023-11-12T00:00:00"/>
    <d v="2023-12-12T03:00:00"/>
    <x v="2"/>
    <x v="0"/>
    <s v="Morning"/>
    <n v="5"/>
    <n v="12"/>
    <s v="Plan B"/>
  </r>
  <r>
    <s v="PAT5510"/>
    <n v="24"/>
    <x v="3"/>
    <x v="3"/>
    <d v="2024-02-19T00:00:00"/>
    <d v="2024-01-03T00:00:00"/>
    <n v="11"/>
    <x v="5"/>
    <n v="5"/>
    <s v="Dr. Mehta"/>
    <n v="17856"/>
    <x v="3"/>
    <x v="1"/>
    <x v="0"/>
    <d v="2024-02-17T00:00:00"/>
    <d v="2024-02-18T01:00:00"/>
    <x v="1"/>
    <x v="0"/>
    <s v="Night"/>
    <n v="5"/>
    <n v="12"/>
    <s v="Plan C"/>
  </r>
  <r>
    <s v="PAT5511"/>
    <n v="64"/>
    <x v="0"/>
    <x v="3"/>
    <d v="2023-06-19T00:00:00"/>
    <d v="2023-03-07T00:00:00"/>
    <n v="14"/>
    <x v="5"/>
    <n v="5"/>
    <s v="Dr. Sharma"/>
    <n v="10105"/>
    <x v="2"/>
    <x v="0"/>
    <x v="1"/>
    <d v="2023-06-18T00:00:00"/>
    <d v="2023-06-19T05:00:00"/>
    <x v="4"/>
    <x v="0"/>
    <s v="Night"/>
    <n v="10"/>
    <n v="8"/>
    <s v="Plan B"/>
  </r>
  <r>
    <s v="PAT5512"/>
    <n v="49"/>
    <x v="4"/>
    <x v="5"/>
    <d v="2024-04-23T00:00:00"/>
    <d v="2024-07-05T00:00:00"/>
    <n v="14"/>
    <x v="3"/>
    <n v="4"/>
    <s v="Dr. Gupta"/>
    <n v="40690"/>
    <x v="3"/>
    <x v="0"/>
    <x v="0"/>
    <d v="2024-04-18T00:00:00"/>
    <d v="2024-04-18T05:00:00"/>
    <x v="2"/>
    <x v="0"/>
    <s v="Morning"/>
    <n v="9"/>
    <n v="12"/>
    <s v="Plan A"/>
  </r>
  <r>
    <s v="PAT5513"/>
    <n v="36"/>
    <x v="4"/>
    <x v="2"/>
    <d v="2023-11-05T00:00:00"/>
    <d v="2023-05-13T00:00:00"/>
    <n v="2"/>
    <x v="1"/>
    <n v="4"/>
    <s v="Dr. Patel"/>
    <n v="7513"/>
    <x v="4"/>
    <x v="1"/>
    <x v="0"/>
    <d v="2023-08-05T00:00:00"/>
    <d v="2023-09-05T17:00:00"/>
    <x v="2"/>
    <x v="0"/>
    <s v="Afternoon"/>
    <n v="7"/>
    <n v="10"/>
    <s v="Plan C"/>
  </r>
  <r>
    <s v="PAT5514"/>
    <n v="82"/>
    <x v="2"/>
    <x v="4"/>
    <d v="2023-01-28T00:00:00"/>
    <d v="2023-07-02T00:00:00"/>
    <n v="10"/>
    <x v="0"/>
    <n v="4"/>
    <s v="Dr. Gupta"/>
    <n v="7801"/>
    <x v="1"/>
    <x v="1"/>
    <x v="1"/>
    <d v="2023-01-23T00:00:00"/>
    <d v="2023-01-23T06:00:00"/>
    <x v="0"/>
    <x v="0"/>
    <s v="Morning"/>
    <n v="11"/>
    <n v="12"/>
    <s v="Plan C"/>
  </r>
  <r>
    <s v="PAT5515"/>
    <n v="24"/>
    <x v="3"/>
    <x v="2"/>
    <d v="2024-08-02T00:00:00"/>
    <d v="2024-02-18T00:00:00"/>
    <n v="10"/>
    <x v="0"/>
    <n v="4"/>
    <s v="Dr. Patel"/>
    <n v="37345"/>
    <x v="2"/>
    <x v="0"/>
    <x v="1"/>
    <d v="2024-06-02T00:00:00"/>
    <d v="2024-07-02T02:00:00"/>
    <x v="0"/>
    <x v="1"/>
    <s v="Morning"/>
    <n v="10"/>
    <n v="12"/>
    <s v="Plan B"/>
  </r>
  <r>
    <s v="PAT5516"/>
    <n v="23"/>
    <x v="3"/>
    <x v="2"/>
    <d v="2023-01-28T00:00:00"/>
    <d v="2023-06-02T00:00:00"/>
    <n v="9"/>
    <x v="2"/>
    <n v="4"/>
    <s v="Dr. Rao"/>
    <n v="18895"/>
    <x v="4"/>
    <x v="1"/>
    <x v="0"/>
    <d v="2023-01-23T00:00:00"/>
    <d v="2023-01-24T09:00:00"/>
    <x v="0"/>
    <x v="0"/>
    <s v="Morning"/>
    <n v="9"/>
    <n v="12"/>
    <s v="Plan B"/>
  </r>
  <r>
    <s v="PAT5517"/>
    <n v="62"/>
    <x v="0"/>
    <x v="4"/>
    <d v="2023-03-27T00:00:00"/>
    <d v="2023-03-04T00:00:00"/>
    <n v="7"/>
    <x v="3"/>
    <n v="5"/>
    <s v="Dr. Patel"/>
    <n v="44749"/>
    <x v="4"/>
    <x v="1"/>
    <x v="0"/>
    <d v="2023-03-26T00:00:00"/>
    <d v="2023-03-28T00:00:00"/>
    <x v="3"/>
    <x v="0"/>
    <s v="Afternoon"/>
    <n v="5"/>
    <n v="10"/>
    <s v="Plan B"/>
  </r>
  <r>
    <s v="PAT5518"/>
    <n v="37"/>
    <x v="4"/>
    <x v="1"/>
    <d v="2024-03-14T00:00:00"/>
    <d v="2024-03-22T00:00:00"/>
    <n v="8"/>
    <x v="3"/>
    <n v="2"/>
    <s v="Dr. Rao"/>
    <n v="13221"/>
    <x v="2"/>
    <x v="1"/>
    <x v="0"/>
    <d v="2024-03-14T00:00:00"/>
    <d v="2024-03-14T18:00:00"/>
    <x v="2"/>
    <x v="0"/>
    <s v="Afternoon"/>
    <n v="8"/>
    <n v="12"/>
    <s v="Plan C"/>
  </r>
  <r>
    <s v="PAT5519"/>
    <n v="12"/>
    <x v="1"/>
    <x v="2"/>
    <d v="2023-05-19T00:00:00"/>
    <d v="2023-05-29T00:00:00"/>
    <n v="10"/>
    <x v="0"/>
    <n v="2"/>
    <s v="Dr. Sharma"/>
    <n v="11038"/>
    <x v="4"/>
    <x v="0"/>
    <x v="1"/>
    <d v="2023-05-14T00:00:00"/>
    <d v="2023-05-15T21:00:00"/>
    <x v="0"/>
    <x v="0"/>
    <s v="Afternoon"/>
    <n v="11"/>
    <n v="12"/>
    <s v="Plan B"/>
  </r>
  <r>
    <s v="PAT5520"/>
    <n v="55"/>
    <x v="0"/>
    <x v="2"/>
    <d v="2024-04-17T00:00:00"/>
    <d v="2024-04-26T00:00:00"/>
    <n v="9"/>
    <x v="0"/>
    <n v="1"/>
    <s v="Dr. Patel"/>
    <n v="37031"/>
    <x v="2"/>
    <x v="1"/>
    <x v="1"/>
    <d v="2024-04-15T00:00:00"/>
    <d v="2024-04-16T00:00:00"/>
    <x v="1"/>
    <x v="0"/>
    <s v="Afternoon"/>
    <n v="6"/>
    <n v="10"/>
    <s v="Plan A"/>
  </r>
  <r>
    <s v="PAT5521"/>
    <n v="13"/>
    <x v="1"/>
    <x v="1"/>
    <d v="2023-06-07T00:00:00"/>
    <d v="2023-07-19T00:00:00"/>
    <n v="13"/>
    <x v="4"/>
    <n v="2"/>
    <s v="Dr. Gupta"/>
    <n v="20082"/>
    <x v="2"/>
    <x v="0"/>
    <x v="0"/>
    <d v="2023-04-07T00:00:00"/>
    <d v="2023-05-07T06:00:00"/>
    <x v="3"/>
    <x v="1"/>
    <s v="Morning"/>
    <n v="9"/>
    <n v="8"/>
    <s v="Plan B"/>
  </r>
  <r>
    <s v="PAT5522"/>
    <n v="23"/>
    <x v="3"/>
    <x v="2"/>
    <d v="2023-02-21T00:00:00"/>
    <d v="2023-05-03T00:00:00"/>
    <n v="12"/>
    <x v="4"/>
    <n v="2"/>
    <s v="Dr. Rao"/>
    <n v="19648"/>
    <x v="0"/>
    <x v="1"/>
    <x v="0"/>
    <d v="2023-02-17T00:00:00"/>
    <d v="2023-02-18T08:00:00"/>
    <x v="4"/>
    <x v="0"/>
    <s v="Night"/>
    <n v="8"/>
    <n v="8"/>
    <s v="Plan B"/>
  </r>
  <r>
    <s v="PAT5523"/>
    <n v="89"/>
    <x v="2"/>
    <x v="2"/>
    <d v="2023-09-24T00:00:00"/>
    <d v="2023-09-10T00:00:00"/>
    <n v="15"/>
    <x v="4"/>
    <n v="5"/>
    <s v="Dr. Gupta"/>
    <n v="5364"/>
    <x v="3"/>
    <x v="0"/>
    <x v="1"/>
    <d v="2023-09-19T00:00:00"/>
    <d v="2023-09-19T21:00:00"/>
    <x v="2"/>
    <x v="0"/>
    <s v="Morning"/>
    <n v="10"/>
    <n v="8"/>
    <s v="Plan C"/>
  </r>
  <r>
    <s v="PAT5524"/>
    <n v="30"/>
    <x v="3"/>
    <x v="2"/>
    <d v="2024-01-24T00:00:00"/>
    <d v="2024-01-25T00:00:00"/>
    <n v="1"/>
    <x v="3"/>
    <n v="4"/>
    <s v="Dr. Mehta"/>
    <n v="39568"/>
    <x v="4"/>
    <x v="0"/>
    <x v="0"/>
    <d v="2024-01-23T00:00:00"/>
    <d v="2024-01-24T14:00:00"/>
    <x v="2"/>
    <x v="0"/>
    <s v="Afternoon"/>
    <n v="10"/>
    <n v="12"/>
    <s v="Plan B"/>
  </r>
  <r>
    <s v="PAT5525"/>
    <n v="17"/>
    <x v="1"/>
    <x v="3"/>
    <d v="2023-02-12T00:00:00"/>
    <d v="2023-10-12T00:00:00"/>
    <n v="8"/>
    <x v="2"/>
    <n v="4"/>
    <s v="Dr. Rao"/>
    <n v="19110"/>
    <x v="4"/>
    <x v="1"/>
    <x v="1"/>
    <d v="2023-01-12T00:00:00"/>
    <d v="2023-01-12T01:00:00"/>
    <x v="1"/>
    <x v="0"/>
    <s v="Night"/>
    <n v="11"/>
    <n v="8"/>
    <s v="Plan C"/>
  </r>
  <r>
    <s v="PAT5526"/>
    <n v="62"/>
    <x v="0"/>
    <x v="0"/>
    <d v="2023-05-08T00:00:00"/>
    <d v="2023-08-20T00:00:00"/>
    <n v="15"/>
    <x v="5"/>
    <n v="5"/>
    <s v="Dr. Patel"/>
    <n v="10958"/>
    <x v="0"/>
    <x v="1"/>
    <x v="0"/>
    <d v="2023-01-08T00:00:00"/>
    <d v="2023-02-08T23:00:00"/>
    <x v="4"/>
    <x v="0"/>
    <s v="Morning"/>
    <n v="5"/>
    <n v="10"/>
    <s v="Plan B"/>
  </r>
  <r>
    <s v="PAT5527"/>
    <n v="84"/>
    <x v="2"/>
    <x v="1"/>
    <d v="2024-10-04T00:00:00"/>
    <d v="2024-04-23T00:00:00"/>
    <n v="13"/>
    <x v="4"/>
    <n v="2"/>
    <s v="Dr. Rao"/>
    <n v="14096"/>
    <x v="0"/>
    <x v="1"/>
    <x v="0"/>
    <d v="2024-05-04T00:00:00"/>
    <d v="2024-05-04T06:00:00"/>
    <x v="4"/>
    <x v="0"/>
    <s v="Night"/>
    <n v="6"/>
    <n v="12"/>
    <s v="Plan A"/>
  </r>
  <r>
    <s v="PAT5528"/>
    <n v="89"/>
    <x v="2"/>
    <x v="2"/>
    <d v="2023-01-12T00:00:00"/>
    <d v="2023-11-12T00:00:00"/>
    <n v="10"/>
    <x v="2"/>
    <n v="5"/>
    <s v="Dr. Gupta"/>
    <n v="12436"/>
    <x v="0"/>
    <x v="1"/>
    <x v="0"/>
    <d v="2023-11-28T00:00:00"/>
    <d v="2023-11-29T23:00:00"/>
    <x v="3"/>
    <x v="0"/>
    <s v="Afternoon"/>
    <n v="4"/>
    <n v="12"/>
    <s v="Plan A"/>
  </r>
  <r>
    <s v="PAT5529"/>
    <n v="86"/>
    <x v="2"/>
    <x v="3"/>
    <d v="2023-12-12T00:00:00"/>
    <d v="2023-12-23T00:00:00"/>
    <n v="11"/>
    <x v="1"/>
    <n v="1"/>
    <s v="Dr. Sharma"/>
    <n v="26177"/>
    <x v="1"/>
    <x v="0"/>
    <x v="0"/>
    <d v="2023-09-12T00:00:00"/>
    <d v="2023-10-12T06:00:00"/>
    <x v="2"/>
    <x v="0"/>
    <s v="Night"/>
    <n v="4"/>
    <n v="12"/>
    <s v="Plan C"/>
  </r>
  <r>
    <s v="PAT5530"/>
    <n v="13"/>
    <x v="1"/>
    <x v="1"/>
    <d v="2024-01-24T00:00:00"/>
    <d v="2024-01-28T00:00:00"/>
    <n v="4"/>
    <x v="4"/>
    <n v="4"/>
    <s v="Dr. Rao"/>
    <n v="31754"/>
    <x v="1"/>
    <x v="1"/>
    <x v="0"/>
    <d v="2024-01-20T00:00:00"/>
    <d v="2024-01-21T17:00:00"/>
    <x v="0"/>
    <x v="0"/>
    <s v="Night"/>
    <n v="10"/>
    <n v="8"/>
    <s v="Plan C"/>
  </r>
  <r>
    <s v="PAT5531"/>
    <n v="59"/>
    <x v="0"/>
    <x v="5"/>
    <d v="2023-12-10T00:00:00"/>
    <d v="2023-10-18T00:00:00"/>
    <n v="6"/>
    <x v="5"/>
    <n v="3"/>
    <s v="Dr. Patel"/>
    <n v="29544"/>
    <x v="1"/>
    <x v="0"/>
    <x v="1"/>
    <d v="2023-10-10T00:00:00"/>
    <d v="2023-11-10T19:00:00"/>
    <x v="1"/>
    <x v="0"/>
    <s v="Afternoon"/>
    <n v="8"/>
    <n v="8"/>
    <s v="Plan B"/>
  </r>
  <r>
    <s v="PAT5532"/>
    <n v="19"/>
    <x v="3"/>
    <x v="5"/>
    <d v="2024-07-03T00:00:00"/>
    <d v="2024-03-17T00:00:00"/>
    <n v="10"/>
    <x v="1"/>
    <n v="1"/>
    <s v="Dr. Mehta"/>
    <n v="17638"/>
    <x v="2"/>
    <x v="1"/>
    <x v="1"/>
    <d v="2024-07-03T00:00:00"/>
    <d v="2024-08-03T21:00:00"/>
    <x v="1"/>
    <x v="0"/>
    <s v="Night"/>
    <n v="6"/>
    <n v="8"/>
    <s v="Plan B"/>
  </r>
  <r>
    <s v="PAT5533"/>
    <n v="49"/>
    <x v="4"/>
    <x v="2"/>
    <d v="2023-09-16T00:00:00"/>
    <d v="2023-09-24T00:00:00"/>
    <n v="8"/>
    <x v="1"/>
    <n v="1"/>
    <s v="Dr. Sharma"/>
    <n v="5179"/>
    <x v="4"/>
    <x v="1"/>
    <x v="0"/>
    <d v="2023-09-13T00:00:00"/>
    <d v="2023-09-13T23:00:00"/>
    <x v="1"/>
    <x v="0"/>
    <s v="Morning"/>
    <n v="8"/>
    <n v="12"/>
    <s v="Plan A"/>
  </r>
  <r>
    <s v="PAT5534"/>
    <n v="12"/>
    <x v="1"/>
    <x v="3"/>
    <d v="2023-03-25T00:00:00"/>
    <d v="2023-03-04T00:00:00"/>
    <n v="9"/>
    <x v="5"/>
    <n v="5"/>
    <s v="Dr. Mehta"/>
    <n v="8873"/>
    <x v="3"/>
    <x v="1"/>
    <x v="0"/>
    <d v="2023-03-20T00:00:00"/>
    <d v="2023-03-20T05:00:00"/>
    <x v="1"/>
    <x v="0"/>
    <s v="Night"/>
    <n v="6"/>
    <n v="10"/>
    <s v="Plan B"/>
  </r>
  <r>
    <s v="PAT5535"/>
    <n v="61"/>
    <x v="0"/>
    <x v="3"/>
    <d v="2024-04-26T00:00:00"/>
    <d v="2024-04-29T00:00:00"/>
    <n v="3"/>
    <x v="4"/>
    <n v="2"/>
    <s v="Dr. Rao"/>
    <n v="22570"/>
    <x v="2"/>
    <x v="1"/>
    <x v="0"/>
    <d v="2024-04-26T00:00:00"/>
    <d v="2024-04-27T11:00:00"/>
    <x v="0"/>
    <x v="0"/>
    <s v="Morning"/>
    <n v="6"/>
    <n v="12"/>
    <s v="Plan A"/>
  </r>
  <r>
    <s v="PAT5536"/>
    <n v="19"/>
    <x v="3"/>
    <x v="1"/>
    <d v="2023-01-20T00:00:00"/>
    <d v="2023-01-21T00:00:00"/>
    <n v="1"/>
    <x v="3"/>
    <n v="4"/>
    <s v="Dr. Gupta"/>
    <n v="22157"/>
    <x v="4"/>
    <x v="1"/>
    <x v="0"/>
    <d v="2023-01-19T00:00:00"/>
    <d v="2023-01-20T02:00:00"/>
    <x v="0"/>
    <x v="0"/>
    <s v="Night"/>
    <n v="10"/>
    <n v="10"/>
    <s v="Plan C"/>
  </r>
  <r>
    <s v="PAT5537"/>
    <n v="76"/>
    <x v="2"/>
    <x v="1"/>
    <d v="2023-02-23T00:00:00"/>
    <d v="2023-03-03T00:00:00"/>
    <n v="8"/>
    <x v="5"/>
    <n v="3"/>
    <s v="Dr. Gupta"/>
    <n v="9460"/>
    <x v="4"/>
    <x v="0"/>
    <x v="0"/>
    <d v="2023-02-22T00:00:00"/>
    <d v="2023-02-22T14:00:00"/>
    <x v="3"/>
    <x v="0"/>
    <s v="Night"/>
    <n v="8"/>
    <n v="12"/>
    <s v="Plan B"/>
  </r>
  <r>
    <s v="PAT5538"/>
    <n v="9"/>
    <x v="1"/>
    <x v="3"/>
    <d v="2023-12-25T00:00:00"/>
    <d v="2023-12-27T00:00:00"/>
    <n v="2"/>
    <x v="5"/>
    <n v="1"/>
    <s v="Dr. Patel"/>
    <n v="5352"/>
    <x v="0"/>
    <x v="1"/>
    <x v="1"/>
    <d v="2023-12-22T00:00:00"/>
    <d v="2023-12-23T04:00:00"/>
    <x v="2"/>
    <x v="0"/>
    <s v="Afternoon"/>
    <n v="10"/>
    <n v="10"/>
    <s v="Plan C"/>
  </r>
  <r>
    <s v="PAT5539"/>
    <n v="71"/>
    <x v="2"/>
    <x v="1"/>
    <d v="2023-08-18T00:00:00"/>
    <d v="2023-08-31T00:00:00"/>
    <n v="13"/>
    <x v="5"/>
    <n v="3"/>
    <s v="Dr. Gupta"/>
    <n v="26586"/>
    <x v="0"/>
    <x v="1"/>
    <x v="0"/>
    <d v="2023-08-16T00:00:00"/>
    <d v="2023-08-16T14:00:00"/>
    <x v="0"/>
    <x v="0"/>
    <s v="Afternoon"/>
    <n v="11"/>
    <n v="12"/>
    <s v="Plan B"/>
  </r>
  <r>
    <s v="PAT5540"/>
    <n v="28"/>
    <x v="3"/>
    <x v="3"/>
    <d v="2023-12-03T00:00:00"/>
    <d v="2023-03-27T00:00:00"/>
    <n v="15"/>
    <x v="1"/>
    <n v="2"/>
    <s v="Dr. Sharma"/>
    <n v="10344"/>
    <x v="2"/>
    <x v="0"/>
    <x v="0"/>
    <d v="2023-11-03T00:00:00"/>
    <d v="2023-12-03T08:00:00"/>
    <x v="3"/>
    <x v="1"/>
    <s v="Morning"/>
    <n v="6"/>
    <n v="12"/>
    <s v="Plan A"/>
  </r>
  <r>
    <s v="PAT5541"/>
    <n v="78"/>
    <x v="2"/>
    <x v="0"/>
    <d v="2023-11-02T00:00:00"/>
    <d v="2023-02-25T00:00:00"/>
    <n v="14"/>
    <x v="2"/>
    <n v="2"/>
    <s v="Dr. Gupta"/>
    <n v="9507"/>
    <x v="0"/>
    <x v="0"/>
    <x v="0"/>
    <d v="2023-11-02T00:00:00"/>
    <d v="2023-11-02T18:00:00"/>
    <x v="4"/>
    <x v="0"/>
    <s v="Afternoon"/>
    <n v="9"/>
    <n v="10"/>
    <s v="Plan C"/>
  </r>
  <r>
    <s v="PAT5542"/>
    <n v="52"/>
    <x v="0"/>
    <x v="3"/>
    <d v="2023-01-02T00:00:00"/>
    <d v="2023-07-02T00:00:00"/>
    <n v="6"/>
    <x v="3"/>
    <n v="3"/>
    <s v="Dr. Patel"/>
    <n v="42598"/>
    <x v="4"/>
    <x v="1"/>
    <x v="0"/>
    <d v="2023-01-30T00:00:00"/>
    <d v="2023-01-30T21:00:00"/>
    <x v="2"/>
    <x v="0"/>
    <s v="Afternoon"/>
    <n v="5"/>
    <n v="10"/>
    <s v="Plan C"/>
  </r>
  <r>
    <s v="PAT5543"/>
    <n v="83"/>
    <x v="2"/>
    <x v="5"/>
    <d v="2023-11-09T00:00:00"/>
    <d v="2023-09-23T00:00:00"/>
    <n v="12"/>
    <x v="4"/>
    <n v="4"/>
    <s v="Dr. Rao"/>
    <n v="48988"/>
    <x v="0"/>
    <x v="1"/>
    <x v="1"/>
    <d v="2023-08-09T00:00:00"/>
    <d v="2023-08-09T19:00:00"/>
    <x v="0"/>
    <x v="0"/>
    <s v="Afternoon"/>
    <n v="11"/>
    <n v="10"/>
    <s v="Plan B"/>
  </r>
  <r>
    <s v="PAT5544"/>
    <n v="16"/>
    <x v="1"/>
    <x v="1"/>
    <d v="2023-07-24T00:00:00"/>
    <d v="2023-07-26T00:00:00"/>
    <n v="2"/>
    <x v="4"/>
    <n v="2"/>
    <s v="Dr. Rao"/>
    <n v="37885"/>
    <x v="1"/>
    <x v="1"/>
    <x v="0"/>
    <d v="2023-07-23T00:00:00"/>
    <d v="2023-07-23T22:00:00"/>
    <x v="4"/>
    <x v="0"/>
    <s v="Afternoon"/>
    <n v="6"/>
    <n v="10"/>
    <s v="Plan C"/>
  </r>
  <r>
    <s v="PAT5545"/>
    <n v="69"/>
    <x v="2"/>
    <x v="3"/>
    <d v="2023-01-21T00:00:00"/>
    <d v="2023-01-30T00:00:00"/>
    <n v="9"/>
    <x v="2"/>
    <n v="3"/>
    <s v="Dr. Gupta"/>
    <n v="21865"/>
    <x v="0"/>
    <x v="0"/>
    <x v="0"/>
    <d v="2023-01-18T00:00:00"/>
    <d v="2023-01-19T12:00:00"/>
    <x v="3"/>
    <x v="0"/>
    <s v="Afternoon"/>
    <n v="9"/>
    <n v="10"/>
    <s v="Plan A"/>
  </r>
  <r>
    <s v="PAT5546"/>
    <n v="12"/>
    <x v="1"/>
    <x v="3"/>
    <d v="2023-06-06T00:00:00"/>
    <d v="2023-06-17T00:00:00"/>
    <n v="11"/>
    <x v="5"/>
    <n v="1"/>
    <s v="Dr. Mehta"/>
    <n v="42055"/>
    <x v="4"/>
    <x v="0"/>
    <x v="0"/>
    <d v="2023-04-06T00:00:00"/>
    <d v="2023-05-06T13:00:00"/>
    <x v="0"/>
    <x v="0"/>
    <s v="Morning"/>
    <n v="6"/>
    <n v="10"/>
    <s v="Plan C"/>
  </r>
  <r>
    <s v="PAT5547"/>
    <n v="25"/>
    <x v="3"/>
    <x v="1"/>
    <d v="2023-02-09T00:00:00"/>
    <d v="2023-05-09T00:00:00"/>
    <n v="3"/>
    <x v="3"/>
    <n v="3"/>
    <s v="Dr. Rao"/>
    <n v="32213"/>
    <x v="2"/>
    <x v="0"/>
    <x v="1"/>
    <d v="2023-08-31T00:00:00"/>
    <d v="2023-08-31T09:00:00"/>
    <x v="0"/>
    <x v="0"/>
    <s v="Morning"/>
    <n v="9"/>
    <n v="10"/>
    <s v="Plan C"/>
  </r>
  <r>
    <s v="PAT5548"/>
    <n v="52"/>
    <x v="0"/>
    <x v="0"/>
    <d v="2023-10-05T00:00:00"/>
    <d v="2023-11-05T00:00:00"/>
    <n v="1"/>
    <x v="4"/>
    <n v="3"/>
    <s v="Dr. Gupta"/>
    <n v="9477"/>
    <x v="3"/>
    <x v="0"/>
    <x v="1"/>
    <d v="2023-08-05T00:00:00"/>
    <d v="2023-09-05T13:00:00"/>
    <x v="4"/>
    <x v="1"/>
    <s v="Afternoon"/>
    <n v="8"/>
    <n v="10"/>
    <s v="Plan B"/>
  </r>
  <r>
    <s v="PAT5549"/>
    <n v="85"/>
    <x v="2"/>
    <x v="0"/>
    <d v="2024-04-29T00:00:00"/>
    <d v="2024-03-05T00:00:00"/>
    <n v="4"/>
    <x v="0"/>
    <n v="5"/>
    <s v="Dr. Patel"/>
    <n v="11533"/>
    <x v="0"/>
    <x v="1"/>
    <x v="1"/>
    <d v="2024-04-25T00:00:00"/>
    <d v="2024-04-26T08:00:00"/>
    <x v="0"/>
    <x v="0"/>
    <s v="Afternoon"/>
    <n v="4"/>
    <n v="12"/>
    <s v="Plan C"/>
  </r>
  <r>
    <s v="PAT5550"/>
    <n v="53"/>
    <x v="0"/>
    <x v="1"/>
    <d v="2023-04-28T00:00:00"/>
    <d v="2023-10-05T00:00:00"/>
    <n v="12"/>
    <x v="4"/>
    <n v="2"/>
    <s v="Dr. Gupta"/>
    <n v="28396"/>
    <x v="4"/>
    <x v="0"/>
    <x v="1"/>
    <d v="2023-04-23T00:00:00"/>
    <d v="2023-04-23T22:00:00"/>
    <x v="1"/>
    <x v="0"/>
    <s v="Morning"/>
    <n v="7"/>
    <n v="10"/>
    <s v="Plan B"/>
  </r>
  <r>
    <s v="PAT5551"/>
    <n v="23"/>
    <x v="3"/>
    <x v="4"/>
    <d v="2023-12-08T00:00:00"/>
    <d v="2023-08-20T00:00:00"/>
    <n v="8"/>
    <x v="5"/>
    <n v="4"/>
    <s v="Dr. Rao"/>
    <n v="17755"/>
    <x v="3"/>
    <x v="1"/>
    <x v="0"/>
    <d v="2023-08-08T00:00:00"/>
    <d v="2023-09-08T20:00:00"/>
    <x v="0"/>
    <x v="0"/>
    <s v="Night"/>
    <n v="11"/>
    <n v="10"/>
    <s v="Plan B"/>
  </r>
  <r>
    <s v="PAT5552"/>
    <n v="16"/>
    <x v="1"/>
    <x v="1"/>
    <d v="2024-04-21T00:00:00"/>
    <d v="2024-04-29T00:00:00"/>
    <n v="8"/>
    <x v="0"/>
    <n v="4"/>
    <s v="Dr. Patel"/>
    <n v="5865"/>
    <x v="3"/>
    <x v="1"/>
    <x v="0"/>
    <d v="2024-04-21T00:00:00"/>
    <d v="2024-04-21T04:00:00"/>
    <x v="2"/>
    <x v="0"/>
    <s v="Morning"/>
    <n v="6"/>
    <n v="12"/>
    <s v="Plan C"/>
  </r>
  <r>
    <s v="PAT5553"/>
    <n v="57"/>
    <x v="0"/>
    <x v="1"/>
    <d v="2023-09-20T00:00:00"/>
    <d v="2023-09-29T00:00:00"/>
    <n v="9"/>
    <x v="2"/>
    <n v="5"/>
    <s v="Dr. Gupta"/>
    <n v="16173"/>
    <x v="1"/>
    <x v="1"/>
    <x v="0"/>
    <d v="2023-09-18T00:00:00"/>
    <d v="2023-09-18T03:00:00"/>
    <x v="4"/>
    <x v="0"/>
    <s v="Night"/>
    <n v="7"/>
    <n v="12"/>
    <s v="Plan A"/>
  </r>
  <r>
    <s v="PAT5554"/>
    <n v="39"/>
    <x v="4"/>
    <x v="0"/>
    <d v="2024-01-13T00:00:00"/>
    <d v="2024-01-22T00:00:00"/>
    <n v="9"/>
    <x v="3"/>
    <n v="4"/>
    <s v="Dr. Sharma"/>
    <n v="43097"/>
    <x v="3"/>
    <x v="0"/>
    <x v="0"/>
    <d v="2024-08-01T00:00:00"/>
    <d v="2024-08-01T07:00:00"/>
    <x v="2"/>
    <x v="0"/>
    <s v="Afternoon"/>
    <n v="6"/>
    <n v="8"/>
    <s v="Plan B"/>
  </r>
  <r>
    <s v="PAT5555"/>
    <n v="53"/>
    <x v="0"/>
    <x v="0"/>
    <d v="2023-06-21T00:00:00"/>
    <d v="2023-01-07T00:00:00"/>
    <n v="10"/>
    <x v="2"/>
    <n v="3"/>
    <s v="Dr. Patel"/>
    <n v="38371"/>
    <x v="4"/>
    <x v="0"/>
    <x v="0"/>
    <d v="2023-06-19T00:00:00"/>
    <d v="2023-06-20T17:00:00"/>
    <x v="3"/>
    <x v="0"/>
    <s v="Afternoon"/>
    <n v="8"/>
    <n v="8"/>
    <s v="Plan C"/>
  </r>
  <r>
    <s v="PAT5556"/>
    <n v="42"/>
    <x v="4"/>
    <x v="1"/>
    <d v="2023-04-28T00:00:00"/>
    <d v="2023-01-05T00:00:00"/>
    <n v="3"/>
    <x v="2"/>
    <n v="5"/>
    <s v="Dr. Sharma"/>
    <n v="43524"/>
    <x v="4"/>
    <x v="1"/>
    <x v="1"/>
    <d v="2023-04-23T00:00:00"/>
    <d v="2023-04-24T06:00:00"/>
    <x v="2"/>
    <x v="0"/>
    <s v="Morning"/>
    <n v="8"/>
    <n v="10"/>
    <s v="Plan B"/>
  </r>
  <r>
    <s v="PAT5557"/>
    <n v="58"/>
    <x v="0"/>
    <x v="1"/>
    <d v="2023-06-17T00:00:00"/>
    <d v="2023-06-23T00:00:00"/>
    <n v="6"/>
    <x v="3"/>
    <n v="1"/>
    <s v="Dr. Mehta"/>
    <n v="16254"/>
    <x v="0"/>
    <x v="0"/>
    <x v="0"/>
    <d v="2023-06-16T00:00:00"/>
    <d v="2023-06-16T02:00:00"/>
    <x v="1"/>
    <x v="0"/>
    <s v="Afternoon"/>
    <n v="9"/>
    <n v="10"/>
    <s v="Plan A"/>
  </r>
  <r>
    <s v="PAT5558"/>
    <n v="39"/>
    <x v="4"/>
    <x v="1"/>
    <d v="2023-11-15T00:00:00"/>
    <d v="2023-11-21T00:00:00"/>
    <n v="6"/>
    <x v="3"/>
    <n v="2"/>
    <s v="Dr. Patel"/>
    <n v="9018"/>
    <x v="0"/>
    <x v="0"/>
    <x v="0"/>
    <d v="2023-11-15T00:00:00"/>
    <d v="2023-11-15T08:00:00"/>
    <x v="1"/>
    <x v="1"/>
    <s v="Night"/>
    <n v="6"/>
    <n v="8"/>
    <s v="Plan A"/>
  </r>
  <r>
    <s v="PAT5559"/>
    <n v="14"/>
    <x v="1"/>
    <x v="0"/>
    <d v="2023-04-21T00:00:00"/>
    <d v="2023-06-05T00:00:00"/>
    <n v="15"/>
    <x v="4"/>
    <n v="2"/>
    <s v="Dr. Sharma"/>
    <n v="10192"/>
    <x v="0"/>
    <x v="1"/>
    <x v="1"/>
    <d v="2023-04-16T00:00:00"/>
    <d v="2023-04-16T11:00:00"/>
    <x v="2"/>
    <x v="0"/>
    <s v="Night"/>
    <n v="8"/>
    <n v="8"/>
    <s v="Plan B"/>
  </r>
  <r>
    <s v="PAT5560"/>
    <n v="5"/>
    <x v="1"/>
    <x v="1"/>
    <d v="2023-01-27T00:00:00"/>
    <d v="2023-01-02T00:00:00"/>
    <n v="5"/>
    <x v="4"/>
    <n v="2"/>
    <s v="Dr. Rao"/>
    <n v="7015"/>
    <x v="3"/>
    <x v="1"/>
    <x v="1"/>
    <d v="2023-01-27T00:00:00"/>
    <d v="2023-01-28T05:00:00"/>
    <x v="3"/>
    <x v="0"/>
    <s v="Morning"/>
    <n v="8"/>
    <n v="10"/>
    <s v="Plan A"/>
  </r>
  <r>
    <s v="PAT5561"/>
    <n v="35"/>
    <x v="3"/>
    <x v="1"/>
    <d v="2023-11-16T00:00:00"/>
    <d v="2023-11-23T00:00:00"/>
    <n v="7"/>
    <x v="3"/>
    <n v="3"/>
    <s v="Dr. Rao"/>
    <n v="47618"/>
    <x v="3"/>
    <x v="0"/>
    <x v="0"/>
    <d v="2023-11-13T00:00:00"/>
    <d v="2023-11-14T06:00:00"/>
    <x v="0"/>
    <x v="0"/>
    <s v="Night"/>
    <n v="6"/>
    <n v="8"/>
    <s v="Plan C"/>
  </r>
  <r>
    <s v="PAT5562"/>
    <n v="87"/>
    <x v="2"/>
    <x v="2"/>
    <d v="2024-01-20T00:00:00"/>
    <d v="2024-01-27T00:00:00"/>
    <n v="7"/>
    <x v="0"/>
    <n v="1"/>
    <s v="Dr. Mehta"/>
    <n v="8380"/>
    <x v="1"/>
    <x v="1"/>
    <x v="0"/>
    <d v="2024-01-18T00:00:00"/>
    <d v="2024-01-18T01:00:00"/>
    <x v="1"/>
    <x v="0"/>
    <s v="Morning"/>
    <n v="9"/>
    <n v="10"/>
    <s v="Plan C"/>
  </r>
  <r>
    <s v="PAT5563"/>
    <n v="75"/>
    <x v="2"/>
    <x v="4"/>
    <d v="2024-11-02T00:00:00"/>
    <d v="2024-02-24T00:00:00"/>
    <n v="13"/>
    <x v="1"/>
    <n v="5"/>
    <s v="Dr. Patel"/>
    <n v="33343"/>
    <x v="0"/>
    <x v="1"/>
    <x v="0"/>
    <d v="2024-10-02T00:00:00"/>
    <d v="2024-11-02T04:00:00"/>
    <x v="2"/>
    <x v="0"/>
    <s v="Morning"/>
    <n v="9"/>
    <n v="12"/>
    <s v="Plan B"/>
  </r>
  <r>
    <s v="PAT5564"/>
    <n v="18"/>
    <x v="3"/>
    <x v="5"/>
    <d v="2023-07-23T00:00:00"/>
    <d v="2023-07-29T00:00:00"/>
    <n v="6"/>
    <x v="4"/>
    <n v="5"/>
    <s v="Dr. Patel"/>
    <n v="8770"/>
    <x v="2"/>
    <x v="0"/>
    <x v="1"/>
    <d v="2023-07-20T00:00:00"/>
    <d v="2023-07-20T13:00:00"/>
    <x v="2"/>
    <x v="0"/>
    <s v="Night"/>
    <n v="9"/>
    <n v="12"/>
    <s v="Plan A"/>
  </r>
  <r>
    <s v="PAT5565"/>
    <n v="76"/>
    <x v="2"/>
    <x v="4"/>
    <d v="2023-03-19T00:00:00"/>
    <d v="2023-03-30T00:00:00"/>
    <n v="11"/>
    <x v="1"/>
    <n v="2"/>
    <s v="Dr. Patel"/>
    <n v="10829"/>
    <x v="1"/>
    <x v="0"/>
    <x v="0"/>
    <d v="2023-03-14T00:00:00"/>
    <d v="2023-03-15T21:00:00"/>
    <x v="2"/>
    <x v="0"/>
    <s v="Night"/>
    <n v="9"/>
    <n v="8"/>
    <s v="Plan C"/>
  </r>
  <r>
    <s v="PAT5566"/>
    <n v="9"/>
    <x v="1"/>
    <x v="2"/>
    <d v="2023-06-09T00:00:00"/>
    <d v="2023-09-16T00:00:00"/>
    <n v="10"/>
    <x v="0"/>
    <n v="1"/>
    <s v="Dr. Mehta"/>
    <n v="39381"/>
    <x v="2"/>
    <x v="0"/>
    <x v="0"/>
    <d v="2023-02-09T00:00:00"/>
    <d v="2023-02-09T09:00:00"/>
    <x v="0"/>
    <x v="0"/>
    <s v="Night"/>
    <n v="4"/>
    <n v="12"/>
    <s v="Plan C"/>
  </r>
  <r>
    <s v="PAT5567"/>
    <n v="74"/>
    <x v="2"/>
    <x v="5"/>
    <d v="2023-04-15T00:00:00"/>
    <d v="2023-04-16T00:00:00"/>
    <n v="1"/>
    <x v="3"/>
    <n v="1"/>
    <s v="Dr. Patel"/>
    <n v="20545"/>
    <x v="3"/>
    <x v="0"/>
    <x v="1"/>
    <d v="2023-10-04T00:00:00"/>
    <d v="2023-11-04T18:00:00"/>
    <x v="4"/>
    <x v="0"/>
    <s v="Night"/>
    <n v="6"/>
    <n v="12"/>
    <s v="Plan C"/>
  </r>
  <r>
    <s v="PAT5568"/>
    <n v="58"/>
    <x v="0"/>
    <x v="1"/>
    <d v="2023-05-11T00:00:00"/>
    <d v="2023-11-18T00:00:00"/>
    <n v="13"/>
    <x v="0"/>
    <n v="1"/>
    <s v="Dr. Rao"/>
    <n v="23263"/>
    <x v="1"/>
    <x v="1"/>
    <x v="0"/>
    <d v="2023-03-11T00:00:00"/>
    <d v="2023-03-11T20:00:00"/>
    <x v="3"/>
    <x v="0"/>
    <s v="Night"/>
    <n v="10"/>
    <n v="12"/>
    <s v="Plan B"/>
  </r>
  <r>
    <s v="PAT5569"/>
    <n v="17"/>
    <x v="1"/>
    <x v="2"/>
    <d v="2023-04-05T00:00:00"/>
    <d v="2023-05-15T00:00:00"/>
    <n v="11"/>
    <x v="4"/>
    <n v="4"/>
    <s v="Dr. Sharma"/>
    <n v="43140"/>
    <x v="1"/>
    <x v="1"/>
    <x v="1"/>
    <d v="2023-04-29T00:00:00"/>
    <d v="2023-04-29T11:00:00"/>
    <x v="4"/>
    <x v="1"/>
    <s v="Night"/>
    <n v="4"/>
    <n v="12"/>
    <s v="Plan B"/>
  </r>
  <r>
    <s v="PAT5570"/>
    <n v="7"/>
    <x v="1"/>
    <x v="1"/>
    <d v="2023-12-02T00:00:00"/>
    <d v="2023-02-23T00:00:00"/>
    <n v="11"/>
    <x v="2"/>
    <n v="4"/>
    <s v="Dr. Rao"/>
    <n v="48306"/>
    <x v="4"/>
    <x v="1"/>
    <x v="0"/>
    <d v="2023-12-02T00:00:00"/>
    <d v="2023-12-02T18:00:00"/>
    <x v="3"/>
    <x v="0"/>
    <s v="Night"/>
    <n v="8"/>
    <n v="10"/>
    <s v="Plan C"/>
  </r>
  <r>
    <s v="PAT5571"/>
    <n v="46"/>
    <x v="4"/>
    <x v="0"/>
    <d v="2023-12-22T00:00:00"/>
    <d v="2023-12-28T00:00:00"/>
    <n v="6"/>
    <x v="3"/>
    <n v="2"/>
    <s v="Dr. Rao"/>
    <n v="30675"/>
    <x v="3"/>
    <x v="1"/>
    <x v="1"/>
    <d v="2023-12-17T00:00:00"/>
    <d v="2023-12-17T06:00:00"/>
    <x v="3"/>
    <x v="0"/>
    <s v="Afternoon"/>
    <n v="4"/>
    <n v="10"/>
    <s v="Plan C"/>
  </r>
  <r>
    <s v="PAT5572"/>
    <n v="13"/>
    <x v="1"/>
    <x v="3"/>
    <d v="2024-03-14T00:00:00"/>
    <d v="2024-03-16T00:00:00"/>
    <n v="2"/>
    <x v="5"/>
    <n v="1"/>
    <s v="Dr. Sharma"/>
    <n v="30362"/>
    <x v="3"/>
    <x v="0"/>
    <x v="1"/>
    <d v="2024-12-03T00:00:00"/>
    <d v="2024-03-13T18:00:00"/>
    <x v="2"/>
    <x v="0"/>
    <s v="Morning"/>
    <n v="11"/>
    <n v="8"/>
    <s v="Plan A"/>
  </r>
  <r>
    <s v="PAT5573"/>
    <n v="40"/>
    <x v="4"/>
    <x v="2"/>
    <d v="2024-01-15T00:00:00"/>
    <d v="2024-01-21T00:00:00"/>
    <n v="6"/>
    <x v="1"/>
    <n v="1"/>
    <s v="Dr. Rao"/>
    <n v="5148"/>
    <x v="1"/>
    <x v="1"/>
    <x v="1"/>
    <d v="2024-01-13T00:00:00"/>
    <d v="2024-01-14T00:00:00"/>
    <x v="1"/>
    <x v="0"/>
    <s v="Morning"/>
    <n v="10"/>
    <n v="12"/>
    <s v="Plan A"/>
  </r>
  <r>
    <s v="PAT5574"/>
    <n v="42"/>
    <x v="4"/>
    <x v="0"/>
    <d v="2023-12-03T00:00:00"/>
    <d v="2023-03-14T00:00:00"/>
    <n v="2"/>
    <x v="0"/>
    <n v="5"/>
    <s v="Dr. Mehta"/>
    <n v="6754"/>
    <x v="3"/>
    <x v="1"/>
    <x v="1"/>
    <d v="2023-08-03T00:00:00"/>
    <d v="2023-08-03T17:00:00"/>
    <x v="2"/>
    <x v="0"/>
    <s v="Night"/>
    <n v="10"/>
    <n v="12"/>
    <s v="Plan A"/>
  </r>
  <r>
    <s v="PAT5575"/>
    <n v="9"/>
    <x v="1"/>
    <x v="2"/>
    <d v="2024-02-06T00:00:00"/>
    <d v="2024-11-06T00:00:00"/>
    <n v="9"/>
    <x v="3"/>
    <n v="5"/>
    <s v="Dr. Sharma"/>
    <n v="31745"/>
    <x v="1"/>
    <x v="1"/>
    <x v="0"/>
    <d v="2024-01-06T00:00:00"/>
    <d v="2024-01-06T06:00:00"/>
    <x v="0"/>
    <x v="1"/>
    <s v="Morning"/>
    <n v="10"/>
    <n v="12"/>
    <s v="Plan B"/>
  </r>
  <r>
    <s v="PAT5576"/>
    <n v="50"/>
    <x v="4"/>
    <x v="2"/>
    <d v="2023-12-16T00:00:00"/>
    <d v="2023-12-27T00:00:00"/>
    <n v="11"/>
    <x v="0"/>
    <n v="2"/>
    <s v="Dr. Rao"/>
    <n v="12378"/>
    <x v="4"/>
    <x v="0"/>
    <x v="1"/>
    <d v="2023-12-15T00:00:00"/>
    <d v="2023-12-16T00:00:00"/>
    <x v="3"/>
    <x v="0"/>
    <s v="Night"/>
    <n v="9"/>
    <n v="8"/>
    <s v="Plan C"/>
  </r>
  <r>
    <s v="PAT5577"/>
    <n v="27"/>
    <x v="3"/>
    <x v="0"/>
    <d v="2023-01-13T00:00:00"/>
    <d v="2023-01-20T00:00:00"/>
    <n v="7"/>
    <x v="3"/>
    <n v="1"/>
    <s v="Dr. Gupta"/>
    <n v="25140"/>
    <x v="1"/>
    <x v="1"/>
    <x v="0"/>
    <d v="2023-12-01T00:00:00"/>
    <d v="2023-01-13T19:00:00"/>
    <x v="1"/>
    <x v="0"/>
    <s v="Afternoon"/>
    <n v="8"/>
    <n v="10"/>
    <s v="Plan B"/>
  </r>
  <r>
    <s v="PAT5578"/>
    <n v="66"/>
    <x v="2"/>
    <x v="5"/>
    <d v="2024-06-03T00:00:00"/>
    <d v="2024-11-03T00:00:00"/>
    <n v="5"/>
    <x v="4"/>
    <n v="2"/>
    <s v="Dr. Rao"/>
    <n v="14371"/>
    <x v="3"/>
    <x v="1"/>
    <x v="1"/>
    <d v="2024-03-03T00:00:00"/>
    <d v="2024-04-03T18:00:00"/>
    <x v="3"/>
    <x v="0"/>
    <s v="Morning"/>
    <n v="4"/>
    <n v="12"/>
    <s v="Plan C"/>
  </r>
  <r>
    <s v="PAT5579"/>
    <n v="5"/>
    <x v="1"/>
    <x v="4"/>
    <d v="2024-05-16T00:00:00"/>
    <d v="2024-05-21T00:00:00"/>
    <n v="5"/>
    <x v="4"/>
    <n v="5"/>
    <s v="Dr. Mehta"/>
    <n v="31999"/>
    <x v="3"/>
    <x v="1"/>
    <x v="0"/>
    <d v="2024-05-15T00:00:00"/>
    <d v="2024-05-15T11:00:00"/>
    <x v="3"/>
    <x v="0"/>
    <s v="Morning"/>
    <n v="4"/>
    <n v="10"/>
    <s v="Plan A"/>
  </r>
  <r>
    <s v="PAT5580"/>
    <n v="29"/>
    <x v="3"/>
    <x v="1"/>
    <d v="2023-04-19T00:00:00"/>
    <d v="2023-01-05T00:00:00"/>
    <n v="12"/>
    <x v="4"/>
    <n v="5"/>
    <s v="Dr. Patel"/>
    <n v="17779"/>
    <x v="1"/>
    <x v="0"/>
    <x v="0"/>
    <d v="2023-04-16T00:00:00"/>
    <d v="2023-04-16T04:00:00"/>
    <x v="2"/>
    <x v="0"/>
    <s v="Afternoon"/>
    <n v="11"/>
    <n v="8"/>
    <s v="Plan A"/>
  </r>
  <r>
    <s v="PAT5581"/>
    <n v="37"/>
    <x v="4"/>
    <x v="2"/>
    <d v="2024-03-19T00:00:00"/>
    <d v="2024-02-04T00:00:00"/>
    <n v="14"/>
    <x v="0"/>
    <n v="4"/>
    <s v="Dr. Rao"/>
    <n v="36075"/>
    <x v="1"/>
    <x v="1"/>
    <x v="1"/>
    <d v="2024-03-14T00:00:00"/>
    <d v="2024-03-15T02:00:00"/>
    <x v="1"/>
    <x v="0"/>
    <s v="Afternoon"/>
    <n v="6"/>
    <n v="10"/>
    <s v="Plan A"/>
  </r>
  <r>
    <s v="PAT5582"/>
    <n v="38"/>
    <x v="4"/>
    <x v="1"/>
    <d v="2024-06-01T00:00:00"/>
    <d v="2024-01-17T00:00:00"/>
    <n v="11"/>
    <x v="5"/>
    <n v="2"/>
    <s v="Dr. Patel"/>
    <n v="35697"/>
    <x v="1"/>
    <x v="1"/>
    <x v="0"/>
    <d v="2024-02-01T00:00:00"/>
    <d v="2024-03-01T17:00:00"/>
    <x v="1"/>
    <x v="0"/>
    <s v="Afternoon"/>
    <n v="4"/>
    <n v="12"/>
    <s v="Plan A"/>
  </r>
  <r>
    <s v="PAT5583"/>
    <n v="83"/>
    <x v="2"/>
    <x v="3"/>
    <d v="2024-04-15T00:00:00"/>
    <d v="2024-04-30T00:00:00"/>
    <n v="15"/>
    <x v="4"/>
    <n v="2"/>
    <s v="Dr. Gupta"/>
    <n v="14795"/>
    <x v="0"/>
    <x v="1"/>
    <x v="1"/>
    <d v="2024-04-13T00:00:00"/>
    <d v="2024-04-13T20:00:00"/>
    <x v="3"/>
    <x v="0"/>
    <s v="Morning"/>
    <n v="11"/>
    <n v="10"/>
    <s v="Plan C"/>
  </r>
  <r>
    <s v="PAT5584"/>
    <n v="8"/>
    <x v="1"/>
    <x v="0"/>
    <d v="2023-06-06T00:00:00"/>
    <d v="2023-06-16T00:00:00"/>
    <n v="10"/>
    <x v="3"/>
    <n v="1"/>
    <s v="Dr. Rao"/>
    <n v="43460"/>
    <x v="3"/>
    <x v="0"/>
    <x v="0"/>
    <d v="2023-03-06T00:00:00"/>
    <d v="2023-04-06T23:00:00"/>
    <x v="1"/>
    <x v="0"/>
    <s v="Morning"/>
    <n v="8"/>
    <n v="10"/>
    <s v="Plan A"/>
  </r>
  <r>
    <s v="PAT5585"/>
    <n v="65"/>
    <x v="0"/>
    <x v="1"/>
    <d v="2024-03-21T00:00:00"/>
    <d v="2024-04-04T00:00:00"/>
    <n v="14"/>
    <x v="4"/>
    <n v="1"/>
    <s v="Dr. Sharma"/>
    <n v="9218"/>
    <x v="3"/>
    <x v="1"/>
    <x v="0"/>
    <d v="2024-03-16T00:00:00"/>
    <d v="2024-03-17T21:00:00"/>
    <x v="1"/>
    <x v="0"/>
    <s v="Afternoon"/>
    <n v="9"/>
    <n v="8"/>
    <s v="Plan C"/>
  </r>
  <r>
    <s v="PAT5586"/>
    <n v="86"/>
    <x v="2"/>
    <x v="0"/>
    <d v="2023-06-30T00:00:00"/>
    <d v="2023-03-07T00:00:00"/>
    <n v="3"/>
    <x v="2"/>
    <n v="4"/>
    <s v="Dr. Patel"/>
    <n v="42571"/>
    <x v="0"/>
    <x v="1"/>
    <x v="0"/>
    <d v="2023-06-26T00:00:00"/>
    <d v="2023-06-26T15:00:00"/>
    <x v="2"/>
    <x v="0"/>
    <s v="Afternoon"/>
    <n v="6"/>
    <n v="8"/>
    <s v="Plan C"/>
  </r>
  <r>
    <s v="PAT5587"/>
    <n v="17"/>
    <x v="1"/>
    <x v="1"/>
    <d v="2024-06-18T00:00:00"/>
    <d v="2024-06-24T00:00:00"/>
    <n v="6"/>
    <x v="4"/>
    <n v="3"/>
    <s v="Dr. Gupta"/>
    <n v="16672"/>
    <x v="1"/>
    <x v="1"/>
    <x v="0"/>
    <d v="2024-06-15T00:00:00"/>
    <d v="2024-06-16T04:00:00"/>
    <x v="4"/>
    <x v="0"/>
    <s v="Afternoon"/>
    <n v="11"/>
    <n v="8"/>
    <s v="Plan B"/>
  </r>
  <r>
    <s v="PAT5588"/>
    <n v="71"/>
    <x v="2"/>
    <x v="4"/>
    <d v="2023-04-10T00:00:00"/>
    <d v="2023-06-10T00:00:00"/>
    <n v="2"/>
    <x v="0"/>
    <n v="3"/>
    <s v="Dr. Sharma"/>
    <n v="36042"/>
    <x v="4"/>
    <x v="1"/>
    <x v="0"/>
    <d v="2023-09-30T00:00:00"/>
    <d v="2023-01-10T18:00:00"/>
    <x v="0"/>
    <x v="0"/>
    <s v="Afternoon"/>
    <n v="4"/>
    <n v="8"/>
    <s v="Plan A"/>
  </r>
  <r>
    <s v="PAT5589"/>
    <n v="89"/>
    <x v="2"/>
    <x v="4"/>
    <d v="2024-10-05T00:00:00"/>
    <d v="2024-05-20T00:00:00"/>
    <n v="10"/>
    <x v="5"/>
    <n v="3"/>
    <s v="Dr. Sharma"/>
    <n v="40950"/>
    <x v="1"/>
    <x v="0"/>
    <x v="1"/>
    <d v="2024-05-05T00:00:00"/>
    <d v="2024-05-05T06:00:00"/>
    <x v="4"/>
    <x v="0"/>
    <s v="Afternoon"/>
    <n v="6"/>
    <n v="10"/>
    <s v="Plan A"/>
  </r>
  <r>
    <s v="PAT5590"/>
    <n v="45"/>
    <x v="4"/>
    <x v="4"/>
    <d v="2024-04-21T00:00:00"/>
    <d v="2024-02-05T00:00:00"/>
    <n v="11"/>
    <x v="2"/>
    <n v="2"/>
    <s v="Dr. Sharma"/>
    <n v="16009"/>
    <x v="1"/>
    <x v="1"/>
    <x v="1"/>
    <d v="2024-04-20T00:00:00"/>
    <d v="2024-04-21T22:00:00"/>
    <x v="1"/>
    <x v="1"/>
    <s v="Night"/>
    <n v="7"/>
    <n v="10"/>
    <s v="Plan B"/>
  </r>
  <r>
    <s v="PAT5591"/>
    <n v="4"/>
    <x v="1"/>
    <x v="4"/>
    <d v="2024-03-22T00:00:00"/>
    <d v="2024-03-25T00:00:00"/>
    <n v="3"/>
    <x v="0"/>
    <n v="2"/>
    <s v="Dr. Sharma"/>
    <n v="24544"/>
    <x v="0"/>
    <x v="0"/>
    <x v="0"/>
    <d v="2024-03-21T00:00:00"/>
    <d v="2024-03-21T07:00:00"/>
    <x v="3"/>
    <x v="0"/>
    <s v="Afternoon"/>
    <n v="6"/>
    <n v="8"/>
    <s v="Plan C"/>
  </r>
  <r>
    <s v="PAT5592"/>
    <n v="36"/>
    <x v="4"/>
    <x v="4"/>
    <d v="2023-02-10T00:00:00"/>
    <d v="2023-10-17T00:00:00"/>
    <n v="15"/>
    <x v="0"/>
    <n v="5"/>
    <s v="Dr. Rao"/>
    <n v="34381"/>
    <x v="3"/>
    <x v="0"/>
    <x v="0"/>
    <d v="2023-09-27T00:00:00"/>
    <d v="2023-09-27T01:00:00"/>
    <x v="0"/>
    <x v="0"/>
    <s v="Night"/>
    <n v="10"/>
    <n v="8"/>
    <s v="Plan A"/>
  </r>
  <r>
    <s v="PAT5593"/>
    <n v="70"/>
    <x v="2"/>
    <x v="4"/>
    <d v="2023-11-27T00:00:00"/>
    <d v="2023-03-12T00:00:00"/>
    <n v="6"/>
    <x v="0"/>
    <n v="2"/>
    <s v="Dr. Rao"/>
    <n v="30287"/>
    <x v="1"/>
    <x v="1"/>
    <x v="0"/>
    <d v="2023-11-23T00:00:00"/>
    <d v="2023-11-23T14:00:00"/>
    <x v="0"/>
    <x v="0"/>
    <s v="Morning"/>
    <n v="9"/>
    <n v="12"/>
    <s v="Plan C"/>
  </r>
  <r>
    <s v="PAT5594"/>
    <n v="31"/>
    <x v="3"/>
    <x v="0"/>
    <d v="2023-09-09T00:00:00"/>
    <d v="2023-09-14T00:00:00"/>
    <n v="5"/>
    <x v="3"/>
    <n v="2"/>
    <s v="Dr. Rao"/>
    <n v="7586"/>
    <x v="3"/>
    <x v="0"/>
    <x v="0"/>
    <d v="2023-09-09T00:00:00"/>
    <d v="2023-10-09T07:00:00"/>
    <x v="3"/>
    <x v="0"/>
    <s v="Morning"/>
    <n v="10"/>
    <n v="12"/>
    <s v="Plan B"/>
  </r>
  <r>
    <s v="PAT5595"/>
    <n v="19"/>
    <x v="3"/>
    <x v="2"/>
    <d v="2023-03-30T00:00:00"/>
    <d v="2023-10-04T00:00:00"/>
    <n v="11"/>
    <x v="0"/>
    <n v="2"/>
    <s v="Dr. Gupta"/>
    <n v="7648"/>
    <x v="2"/>
    <x v="0"/>
    <x v="0"/>
    <d v="2023-03-26T00:00:00"/>
    <d v="2023-03-26T05:00:00"/>
    <x v="0"/>
    <x v="0"/>
    <s v="Night"/>
    <n v="7"/>
    <n v="8"/>
    <s v="Plan C"/>
  </r>
  <r>
    <s v="PAT5596"/>
    <n v="61"/>
    <x v="0"/>
    <x v="1"/>
    <d v="2023-10-13T00:00:00"/>
    <d v="2023-10-25T00:00:00"/>
    <n v="12"/>
    <x v="3"/>
    <n v="4"/>
    <s v="Dr. Gupta"/>
    <n v="45081"/>
    <x v="3"/>
    <x v="0"/>
    <x v="0"/>
    <d v="2023-10-10T00:00:00"/>
    <d v="2023-10-10T09:00:00"/>
    <x v="3"/>
    <x v="0"/>
    <s v="Afternoon"/>
    <n v="10"/>
    <n v="10"/>
    <s v="Plan A"/>
  </r>
  <r>
    <s v="PAT5597"/>
    <n v="54"/>
    <x v="0"/>
    <x v="4"/>
    <d v="2024-06-04T00:00:00"/>
    <d v="2024-04-17T00:00:00"/>
    <n v="11"/>
    <x v="0"/>
    <n v="2"/>
    <s v="Dr. Gupta"/>
    <n v="23101"/>
    <x v="4"/>
    <x v="1"/>
    <x v="0"/>
    <d v="2024-02-04T00:00:00"/>
    <d v="2024-03-04T14:00:00"/>
    <x v="0"/>
    <x v="0"/>
    <s v="Morning"/>
    <n v="7"/>
    <n v="8"/>
    <s v="Plan C"/>
  </r>
  <r>
    <s v="PAT5598"/>
    <n v="39"/>
    <x v="4"/>
    <x v="0"/>
    <d v="2023-07-09T00:00:00"/>
    <d v="2023-09-14T00:00:00"/>
    <n v="7"/>
    <x v="1"/>
    <n v="1"/>
    <s v="Dr. Mehta"/>
    <n v="26692"/>
    <x v="4"/>
    <x v="1"/>
    <x v="0"/>
    <d v="2023-02-09T00:00:00"/>
    <d v="2023-02-09T15:00:00"/>
    <x v="4"/>
    <x v="0"/>
    <s v="Afternoon"/>
    <n v="6"/>
    <n v="10"/>
    <s v="Plan C"/>
  </r>
  <r>
    <s v="PAT5599"/>
    <n v="74"/>
    <x v="2"/>
    <x v="0"/>
    <d v="2024-04-20T00:00:00"/>
    <d v="2024-04-23T00:00:00"/>
    <n v="3"/>
    <x v="2"/>
    <n v="1"/>
    <s v="Dr. Gupta"/>
    <n v="12407"/>
    <x v="1"/>
    <x v="1"/>
    <x v="0"/>
    <d v="2024-04-18T00:00:00"/>
    <d v="2024-04-19T10:00:00"/>
    <x v="0"/>
    <x v="0"/>
    <s v="Afternoon"/>
    <n v="8"/>
    <n v="10"/>
    <s v="Plan A"/>
  </r>
  <r>
    <s v="PAT5600"/>
    <n v="19"/>
    <x v="3"/>
    <x v="0"/>
    <d v="2024-01-24T00:00:00"/>
    <d v="2024-03-02T00:00:00"/>
    <n v="10"/>
    <x v="1"/>
    <n v="5"/>
    <s v="Dr. Rao"/>
    <n v="22254"/>
    <x v="3"/>
    <x v="0"/>
    <x v="1"/>
    <d v="2024-01-24T00:00:00"/>
    <d v="2024-01-25T20:00:00"/>
    <x v="2"/>
    <x v="0"/>
    <s v="Night"/>
    <n v="9"/>
    <n v="12"/>
    <s v="Plan A"/>
  </r>
  <r>
    <s v="PAT5601"/>
    <n v="39"/>
    <x v="4"/>
    <x v="2"/>
    <d v="2023-11-12T00:00:00"/>
    <d v="2023-12-23T00:00:00"/>
    <n v="12"/>
    <x v="0"/>
    <n v="4"/>
    <s v="Dr. Rao"/>
    <n v="20234"/>
    <x v="1"/>
    <x v="1"/>
    <x v="1"/>
    <d v="2023-07-12T00:00:00"/>
    <d v="2023-08-12T05:00:00"/>
    <x v="3"/>
    <x v="0"/>
    <s v="Morning"/>
    <n v="8"/>
    <n v="8"/>
    <s v="Plan C"/>
  </r>
  <r>
    <s v="PAT5602"/>
    <n v="67"/>
    <x v="2"/>
    <x v="1"/>
    <d v="2023-01-30T00:00:00"/>
    <d v="2023-01-02T00:00:00"/>
    <n v="2"/>
    <x v="2"/>
    <n v="1"/>
    <s v="Dr. Mehta"/>
    <n v="27211"/>
    <x v="0"/>
    <x v="1"/>
    <x v="0"/>
    <d v="2023-01-30T00:00:00"/>
    <d v="2023-01-30T01:00:00"/>
    <x v="0"/>
    <x v="0"/>
    <s v="Morning"/>
    <n v="9"/>
    <n v="8"/>
    <s v="Plan C"/>
  </r>
  <r>
    <s v="PAT5603"/>
    <n v="45"/>
    <x v="4"/>
    <x v="2"/>
    <d v="2024-05-21T00:00:00"/>
    <d v="2024-05-26T00:00:00"/>
    <n v="5"/>
    <x v="2"/>
    <n v="4"/>
    <s v="Dr. Mehta"/>
    <n v="34480"/>
    <x v="4"/>
    <x v="1"/>
    <x v="1"/>
    <d v="2024-05-21T00:00:00"/>
    <d v="2024-05-21T01:00:00"/>
    <x v="3"/>
    <x v="0"/>
    <s v="Night"/>
    <n v="11"/>
    <n v="10"/>
    <s v="Plan B"/>
  </r>
  <r>
    <s v="PAT5604"/>
    <n v="13"/>
    <x v="1"/>
    <x v="5"/>
    <d v="2023-11-29T00:00:00"/>
    <d v="2023-08-12T00:00:00"/>
    <n v="9"/>
    <x v="5"/>
    <n v="4"/>
    <s v="Dr. Gupta"/>
    <n v="29846"/>
    <x v="1"/>
    <x v="1"/>
    <x v="0"/>
    <d v="2023-11-25T00:00:00"/>
    <d v="2023-11-26T21:00:00"/>
    <x v="2"/>
    <x v="0"/>
    <s v="Afternoon"/>
    <n v="9"/>
    <n v="8"/>
    <s v="Plan A"/>
  </r>
  <r>
    <s v="PAT5605"/>
    <n v="58"/>
    <x v="0"/>
    <x v="0"/>
    <d v="2023-06-07T00:00:00"/>
    <d v="2023-07-13T00:00:00"/>
    <n v="7"/>
    <x v="1"/>
    <n v="5"/>
    <s v="Dr. Patel"/>
    <n v="47503"/>
    <x v="0"/>
    <x v="1"/>
    <x v="0"/>
    <d v="2023-02-07T00:00:00"/>
    <d v="2023-02-07T22:00:00"/>
    <x v="0"/>
    <x v="0"/>
    <s v="Afternoon"/>
    <n v="10"/>
    <n v="12"/>
    <s v="Plan C"/>
  </r>
  <r>
    <s v="PAT5606"/>
    <n v="20"/>
    <x v="3"/>
    <x v="5"/>
    <d v="2024-05-14T00:00:00"/>
    <d v="2024-05-25T00:00:00"/>
    <n v="11"/>
    <x v="5"/>
    <n v="4"/>
    <s v="Dr. Mehta"/>
    <n v="20321"/>
    <x v="1"/>
    <x v="1"/>
    <x v="0"/>
    <d v="2024-05-13T00:00:00"/>
    <d v="2024-05-13T08:00:00"/>
    <x v="0"/>
    <x v="0"/>
    <s v="Morning"/>
    <n v="10"/>
    <n v="12"/>
    <s v="Plan A"/>
  </r>
  <r>
    <s v="PAT5607"/>
    <n v="72"/>
    <x v="2"/>
    <x v="3"/>
    <d v="2023-06-08T00:00:00"/>
    <d v="2023-08-19T00:00:00"/>
    <n v="13"/>
    <x v="2"/>
    <n v="2"/>
    <s v="Dr. Sharma"/>
    <n v="17646"/>
    <x v="3"/>
    <x v="1"/>
    <x v="0"/>
    <d v="2023-02-08T00:00:00"/>
    <d v="2023-03-08T04:00:00"/>
    <x v="2"/>
    <x v="0"/>
    <s v="Night"/>
    <n v="8"/>
    <n v="8"/>
    <s v="Plan B"/>
  </r>
  <r>
    <s v="PAT5608"/>
    <n v="61"/>
    <x v="0"/>
    <x v="4"/>
    <d v="2023-12-30T00:00:00"/>
    <d v="2024-05-01T00:00:00"/>
    <n v="6"/>
    <x v="3"/>
    <n v="4"/>
    <s v="Dr. Rao"/>
    <n v="27117"/>
    <x v="3"/>
    <x v="0"/>
    <x v="0"/>
    <d v="2023-12-26T00:00:00"/>
    <d v="2023-12-27T21:00:00"/>
    <x v="2"/>
    <x v="0"/>
    <s v="Night"/>
    <n v="5"/>
    <n v="8"/>
    <s v="Plan C"/>
  </r>
  <r>
    <s v="PAT5609"/>
    <n v="39"/>
    <x v="4"/>
    <x v="4"/>
    <d v="2023-09-22T00:00:00"/>
    <d v="2023-06-10T00:00:00"/>
    <n v="14"/>
    <x v="2"/>
    <n v="5"/>
    <s v="Dr. Sharma"/>
    <n v="9893"/>
    <x v="3"/>
    <x v="1"/>
    <x v="0"/>
    <d v="2023-09-21T00:00:00"/>
    <d v="2023-09-21T09:00:00"/>
    <x v="2"/>
    <x v="0"/>
    <s v="Afternoon"/>
    <n v="11"/>
    <n v="12"/>
    <s v="Plan C"/>
  </r>
  <r>
    <s v="PAT5610"/>
    <n v="1"/>
    <x v="1"/>
    <x v="2"/>
    <d v="2023-12-15T00:00:00"/>
    <d v="2023-12-18T00:00:00"/>
    <n v="3"/>
    <x v="5"/>
    <n v="5"/>
    <s v="Dr. Rao"/>
    <n v="14476"/>
    <x v="3"/>
    <x v="0"/>
    <x v="0"/>
    <d v="2023-12-14T00:00:00"/>
    <d v="2023-12-15T07:00:00"/>
    <x v="3"/>
    <x v="0"/>
    <s v="Afternoon"/>
    <n v="7"/>
    <n v="8"/>
    <s v="Plan C"/>
  </r>
  <r>
    <s v="PAT5611"/>
    <n v="3"/>
    <x v="1"/>
    <x v="1"/>
    <d v="2023-10-14T00:00:00"/>
    <d v="2023-10-25T00:00:00"/>
    <n v="11"/>
    <x v="1"/>
    <n v="5"/>
    <s v="Dr. Rao"/>
    <n v="22270"/>
    <x v="2"/>
    <x v="1"/>
    <x v="0"/>
    <d v="2023-12-10T00:00:00"/>
    <d v="2023-12-10T05:00:00"/>
    <x v="2"/>
    <x v="1"/>
    <s v="Night"/>
    <n v="10"/>
    <n v="10"/>
    <s v="Plan A"/>
  </r>
  <r>
    <s v="PAT5612"/>
    <n v="77"/>
    <x v="2"/>
    <x v="5"/>
    <d v="2023-10-10T00:00:00"/>
    <d v="2023-10-22T00:00:00"/>
    <n v="12"/>
    <x v="0"/>
    <n v="1"/>
    <s v="Dr. Mehta"/>
    <n v="26702"/>
    <x v="0"/>
    <x v="1"/>
    <x v="0"/>
    <d v="2023-06-10T00:00:00"/>
    <d v="2023-06-10T15:00:00"/>
    <x v="3"/>
    <x v="0"/>
    <s v="Morning"/>
    <n v="11"/>
    <n v="8"/>
    <s v="Plan B"/>
  </r>
  <r>
    <s v="PAT5613"/>
    <n v="62"/>
    <x v="0"/>
    <x v="1"/>
    <d v="2023-11-01T00:00:00"/>
    <d v="2023-01-25T00:00:00"/>
    <n v="14"/>
    <x v="0"/>
    <n v="2"/>
    <s v="Dr. Mehta"/>
    <n v="9382"/>
    <x v="0"/>
    <x v="0"/>
    <x v="0"/>
    <d v="2023-08-01T00:00:00"/>
    <d v="2023-09-01T01:00:00"/>
    <x v="4"/>
    <x v="0"/>
    <s v="Afternoon"/>
    <n v="10"/>
    <n v="10"/>
    <s v="Plan A"/>
  </r>
  <r>
    <s v="PAT5614"/>
    <n v="63"/>
    <x v="0"/>
    <x v="2"/>
    <d v="2024-06-13T00:00:00"/>
    <d v="2024-06-25T00:00:00"/>
    <n v="12"/>
    <x v="1"/>
    <n v="1"/>
    <s v="Dr. Sharma"/>
    <n v="6785"/>
    <x v="3"/>
    <x v="0"/>
    <x v="0"/>
    <d v="2024-06-13T00:00:00"/>
    <d v="2024-06-13T06:00:00"/>
    <x v="0"/>
    <x v="0"/>
    <s v="Night"/>
    <n v="10"/>
    <n v="8"/>
    <s v="Plan C"/>
  </r>
  <r>
    <s v="PAT5615"/>
    <n v="25"/>
    <x v="3"/>
    <x v="4"/>
    <d v="2023-07-15T00:00:00"/>
    <d v="2023-07-26T00:00:00"/>
    <n v="11"/>
    <x v="0"/>
    <n v="3"/>
    <s v="Dr. Rao"/>
    <n v="16735"/>
    <x v="2"/>
    <x v="1"/>
    <x v="0"/>
    <d v="2023-10-07T00:00:00"/>
    <d v="2023-11-07T23:00:00"/>
    <x v="0"/>
    <x v="0"/>
    <s v="Night"/>
    <n v="6"/>
    <n v="8"/>
    <s v="Plan B"/>
  </r>
  <r>
    <s v="PAT5616"/>
    <n v="56"/>
    <x v="0"/>
    <x v="1"/>
    <d v="2023-03-29T00:00:00"/>
    <d v="2023-04-13T00:00:00"/>
    <n v="15"/>
    <x v="0"/>
    <n v="2"/>
    <s v="Dr. Sharma"/>
    <n v="35177"/>
    <x v="3"/>
    <x v="0"/>
    <x v="0"/>
    <d v="2023-03-28T00:00:00"/>
    <d v="2023-03-28T07:00:00"/>
    <x v="1"/>
    <x v="0"/>
    <s v="Night"/>
    <n v="8"/>
    <n v="12"/>
    <s v="Plan C"/>
  </r>
  <r>
    <s v="PAT5617"/>
    <n v="33"/>
    <x v="3"/>
    <x v="1"/>
    <d v="2023-05-09T00:00:00"/>
    <d v="2023-09-14T00:00:00"/>
    <n v="9"/>
    <x v="5"/>
    <n v="4"/>
    <s v="Dr. Patel"/>
    <n v="35712"/>
    <x v="2"/>
    <x v="0"/>
    <x v="0"/>
    <d v="2023-08-31T00:00:00"/>
    <d v="2023-08-31T07:00:00"/>
    <x v="4"/>
    <x v="0"/>
    <s v="Morning"/>
    <n v="8"/>
    <n v="10"/>
    <s v="Plan C"/>
  </r>
  <r>
    <s v="PAT5618"/>
    <n v="38"/>
    <x v="4"/>
    <x v="4"/>
    <d v="2024-02-21T00:00:00"/>
    <d v="2024-02-23T00:00:00"/>
    <n v="2"/>
    <x v="1"/>
    <n v="5"/>
    <s v="Dr. Sharma"/>
    <n v="21679"/>
    <x v="3"/>
    <x v="0"/>
    <x v="0"/>
    <d v="2024-02-17T00:00:00"/>
    <d v="2024-02-17T21:00:00"/>
    <x v="2"/>
    <x v="1"/>
    <s v="Afternoon"/>
    <n v="10"/>
    <n v="12"/>
    <s v="Plan A"/>
  </r>
  <r>
    <s v="PAT5619"/>
    <n v="6"/>
    <x v="1"/>
    <x v="5"/>
    <d v="2024-05-15T00:00:00"/>
    <d v="2024-05-26T00:00:00"/>
    <n v="11"/>
    <x v="4"/>
    <n v="3"/>
    <s v="Dr. Gupta"/>
    <n v="48013"/>
    <x v="4"/>
    <x v="1"/>
    <x v="0"/>
    <d v="2024-12-05T00:00:00"/>
    <d v="2024-05-13T00:00:00"/>
    <x v="2"/>
    <x v="0"/>
    <s v="Afternoon"/>
    <n v="6"/>
    <n v="8"/>
    <s v="Plan C"/>
  </r>
  <r>
    <s v="PAT5620"/>
    <n v="58"/>
    <x v="0"/>
    <x v="4"/>
    <d v="2023-04-09T00:00:00"/>
    <d v="2023-09-15T00:00:00"/>
    <n v="11"/>
    <x v="3"/>
    <n v="2"/>
    <s v="Dr. Sharma"/>
    <n v="40365"/>
    <x v="4"/>
    <x v="1"/>
    <x v="0"/>
    <d v="2023-04-09T00:00:00"/>
    <d v="2023-04-09T20:00:00"/>
    <x v="4"/>
    <x v="0"/>
    <s v="Afternoon"/>
    <n v="10"/>
    <n v="12"/>
    <s v="Plan B"/>
  </r>
  <r>
    <s v="PAT5621"/>
    <n v="44"/>
    <x v="4"/>
    <x v="1"/>
    <d v="2024-02-05T00:00:00"/>
    <d v="2024-09-05T00:00:00"/>
    <n v="7"/>
    <x v="3"/>
    <n v="1"/>
    <s v="Dr. Gupta"/>
    <n v="22064"/>
    <x v="1"/>
    <x v="1"/>
    <x v="0"/>
    <d v="2024-04-28T00:00:00"/>
    <d v="2024-04-28T09:00:00"/>
    <x v="2"/>
    <x v="0"/>
    <s v="Morning"/>
    <n v="7"/>
    <n v="8"/>
    <s v="Plan C"/>
  </r>
  <r>
    <s v="PAT5622"/>
    <n v="45"/>
    <x v="4"/>
    <x v="5"/>
    <d v="2024-05-17T00:00:00"/>
    <d v="2024-05-26T00:00:00"/>
    <n v="9"/>
    <x v="0"/>
    <n v="5"/>
    <s v="Dr. Gupta"/>
    <n v="35563"/>
    <x v="3"/>
    <x v="0"/>
    <x v="0"/>
    <d v="2024-05-14T00:00:00"/>
    <d v="2024-05-15T01:00:00"/>
    <x v="1"/>
    <x v="1"/>
    <s v="Afternoon"/>
    <n v="6"/>
    <n v="8"/>
    <s v="Plan C"/>
  </r>
  <r>
    <s v="PAT5623"/>
    <n v="32"/>
    <x v="3"/>
    <x v="5"/>
    <d v="2024-03-04T00:00:00"/>
    <d v="2024-09-04T00:00:00"/>
    <n v="6"/>
    <x v="3"/>
    <n v="1"/>
    <s v="Dr. Gupta"/>
    <n v="38092"/>
    <x v="0"/>
    <x v="1"/>
    <x v="0"/>
    <d v="2024-03-04T00:00:00"/>
    <d v="2024-03-04T09:00:00"/>
    <x v="3"/>
    <x v="0"/>
    <s v="Afternoon"/>
    <n v="10"/>
    <n v="8"/>
    <s v="Plan A"/>
  </r>
  <r>
    <s v="PAT5624"/>
    <n v="45"/>
    <x v="4"/>
    <x v="4"/>
    <d v="2023-01-18T00:00:00"/>
    <d v="2023-01-19T00:00:00"/>
    <n v="1"/>
    <x v="1"/>
    <n v="2"/>
    <s v="Dr. Patel"/>
    <n v="31867"/>
    <x v="1"/>
    <x v="0"/>
    <x v="0"/>
    <d v="2023-01-15T00:00:00"/>
    <d v="2023-01-16T18:00:00"/>
    <x v="0"/>
    <x v="0"/>
    <s v="Afternoon"/>
    <n v="9"/>
    <n v="10"/>
    <s v="Plan B"/>
  </r>
  <r>
    <s v="PAT5625"/>
    <n v="61"/>
    <x v="0"/>
    <x v="1"/>
    <d v="2023-06-04T00:00:00"/>
    <d v="2023-12-04T00:00:00"/>
    <n v="6"/>
    <x v="1"/>
    <n v="2"/>
    <s v="Dr. Sharma"/>
    <n v="38754"/>
    <x v="4"/>
    <x v="1"/>
    <x v="0"/>
    <d v="2023-05-04T00:00:00"/>
    <d v="2023-06-04T20:00:00"/>
    <x v="4"/>
    <x v="0"/>
    <s v="Afternoon"/>
    <n v="5"/>
    <n v="10"/>
    <s v="Plan A"/>
  </r>
  <r>
    <s v="PAT5626"/>
    <n v="47"/>
    <x v="4"/>
    <x v="2"/>
    <d v="2023-10-29T00:00:00"/>
    <d v="2023-03-11T00:00:00"/>
    <n v="5"/>
    <x v="2"/>
    <n v="3"/>
    <s v="Dr. Sharma"/>
    <n v="24502"/>
    <x v="3"/>
    <x v="1"/>
    <x v="0"/>
    <d v="2023-10-25T00:00:00"/>
    <d v="2023-10-25T10:00:00"/>
    <x v="0"/>
    <x v="0"/>
    <s v="Morning"/>
    <n v="9"/>
    <n v="10"/>
    <s v="Plan C"/>
  </r>
  <r>
    <s v="PAT5627"/>
    <n v="21"/>
    <x v="3"/>
    <x v="1"/>
    <d v="2023-08-15T00:00:00"/>
    <d v="2023-08-18T00:00:00"/>
    <n v="3"/>
    <x v="2"/>
    <n v="4"/>
    <s v="Dr. Patel"/>
    <n v="5760"/>
    <x v="1"/>
    <x v="1"/>
    <x v="1"/>
    <d v="2023-12-08T00:00:00"/>
    <d v="2023-12-08T05:00:00"/>
    <x v="3"/>
    <x v="0"/>
    <s v="Night"/>
    <n v="5"/>
    <n v="12"/>
    <s v="Plan A"/>
  </r>
  <r>
    <s v="PAT5628"/>
    <n v="80"/>
    <x v="2"/>
    <x v="0"/>
    <d v="2024-02-19T00:00:00"/>
    <d v="2024-02-23T00:00:00"/>
    <n v="4"/>
    <x v="3"/>
    <n v="1"/>
    <s v="Dr. Rao"/>
    <n v="29142"/>
    <x v="3"/>
    <x v="0"/>
    <x v="0"/>
    <d v="2024-02-16T00:00:00"/>
    <d v="2024-02-17T10:00:00"/>
    <x v="4"/>
    <x v="0"/>
    <s v="Night"/>
    <n v="6"/>
    <n v="8"/>
    <s v="Plan A"/>
  </r>
  <r>
    <s v="PAT5629"/>
    <n v="85"/>
    <x v="2"/>
    <x v="3"/>
    <d v="2023-07-09T00:00:00"/>
    <d v="2023-09-13T00:00:00"/>
    <n v="6"/>
    <x v="4"/>
    <n v="3"/>
    <s v="Dr. Mehta"/>
    <n v="49653"/>
    <x v="4"/>
    <x v="1"/>
    <x v="0"/>
    <d v="2023-03-09T00:00:00"/>
    <d v="2023-04-09T13:00:00"/>
    <x v="3"/>
    <x v="0"/>
    <s v="Afternoon"/>
    <n v="9"/>
    <n v="12"/>
    <s v="Plan A"/>
  </r>
  <r>
    <s v="PAT5630"/>
    <n v="75"/>
    <x v="2"/>
    <x v="2"/>
    <d v="2023-10-11T00:00:00"/>
    <d v="2023-11-23T00:00:00"/>
    <n v="13"/>
    <x v="2"/>
    <n v="5"/>
    <s v="Dr. Sharma"/>
    <n v="46996"/>
    <x v="1"/>
    <x v="0"/>
    <x v="0"/>
    <d v="2023-10-11T00:00:00"/>
    <d v="2023-10-11T01:00:00"/>
    <x v="2"/>
    <x v="0"/>
    <s v="Afternoon"/>
    <n v="7"/>
    <n v="12"/>
    <s v="Plan A"/>
  </r>
  <r>
    <s v="PAT5631"/>
    <n v="36"/>
    <x v="4"/>
    <x v="5"/>
    <d v="2024-01-13T00:00:00"/>
    <d v="2024-01-21T00:00:00"/>
    <n v="8"/>
    <x v="2"/>
    <n v="4"/>
    <s v="Dr. Mehta"/>
    <n v="22290"/>
    <x v="4"/>
    <x v="1"/>
    <x v="0"/>
    <d v="2024-09-01T00:00:00"/>
    <d v="2024-10-01T16:00:00"/>
    <x v="2"/>
    <x v="0"/>
    <s v="Afternoon"/>
    <n v="11"/>
    <n v="8"/>
    <s v="Plan C"/>
  </r>
  <r>
    <s v="PAT5632"/>
    <n v="19"/>
    <x v="3"/>
    <x v="2"/>
    <d v="2024-04-29T00:00:00"/>
    <d v="2024-03-05T00:00:00"/>
    <n v="4"/>
    <x v="1"/>
    <n v="3"/>
    <s v="Dr. Patel"/>
    <n v="10499"/>
    <x v="2"/>
    <x v="0"/>
    <x v="0"/>
    <d v="2024-04-26T00:00:00"/>
    <d v="2024-04-27T18:00:00"/>
    <x v="2"/>
    <x v="0"/>
    <s v="Morning"/>
    <n v="9"/>
    <n v="12"/>
    <s v="Plan C"/>
  </r>
  <r>
    <s v="PAT5633"/>
    <n v="20"/>
    <x v="3"/>
    <x v="5"/>
    <d v="2023-12-19T00:00:00"/>
    <d v="2023-12-23T00:00:00"/>
    <n v="4"/>
    <x v="4"/>
    <n v="1"/>
    <s v="Dr. Rao"/>
    <n v="5364"/>
    <x v="4"/>
    <x v="0"/>
    <x v="0"/>
    <d v="2023-12-14T00:00:00"/>
    <d v="2023-12-14T11:00:00"/>
    <x v="3"/>
    <x v="0"/>
    <s v="Afternoon"/>
    <n v="8"/>
    <n v="8"/>
    <s v="Plan B"/>
  </r>
  <r>
    <s v="PAT5634"/>
    <n v="57"/>
    <x v="0"/>
    <x v="5"/>
    <d v="2024-11-03T00:00:00"/>
    <d v="2024-03-14T00:00:00"/>
    <n v="3"/>
    <x v="0"/>
    <n v="2"/>
    <s v="Dr. Rao"/>
    <n v="24797"/>
    <x v="3"/>
    <x v="0"/>
    <x v="1"/>
    <d v="2024-09-03T00:00:00"/>
    <d v="2024-10-03T05:00:00"/>
    <x v="3"/>
    <x v="1"/>
    <s v="Morning"/>
    <n v="11"/>
    <n v="8"/>
    <s v="Plan A"/>
  </r>
  <r>
    <s v="PAT5635"/>
    <n v="18"/>
    <x v="3"/>
    <x v="2"/>
    <d v="2023-05-12T00:00:00"/>
    <d v="2023-08-12T00:00:00"/>
    <n v="3"/>
    <x v="3"/>
    <n v="5"/>
    <s v="Dr. Rao"/>
    <n v="45795"/>
    <x v="0"/>
    <x v="0"/>
    <x v="0"/>
    <d v="2023-11-30T00:00:00"/>
    <d v="2023-11-30T23:00:00"/>
    <x v="3"/>
    <x v="0"/>
    <s v="Afternoon"/>
    <n v="11"/>
    <n v="8"/>
    <s v="Plan A"/>
  </r>
  <r>
    <s v="PAT5636"/>
    <n v="47"/>
    <x v="4"/>
    <x v="5"/>
    <d v="2023-12-27T00:00:00"/>
    <d v="2023-12-29T00:00:00"/>
    <n v="2"/>
    <x v="2"/>
    <n v="1"/>
    <s v="Dr. Patel"/>
    <n v="37535"/>
    <x v="4"/>
    <x v="1"/>
    <x v="0"/>
    <d v="2023-12-27T00:00:00"/>
    <d v="2023-12-28T23:00:00"/>
    <x v="0"/>
    <x v="0"/>
    <s v="Afternoon"/>
    <n v="5"/>
    <n v="8"/>
    <s v="Plan B"/>
  </r>
  <r>
    <s v="PAT5637"/>
    <n v="49"/>
    <x v="4"/>
    <x v="5"/>
    <d v="2024-09-04T00:00:00"/>
    <d v="2024-04-14T00:00:00"/>
    <n v="5"/>
    <x v="4"/>
    <n v="4"/>
    <s v="Dr. Gupta"/>
    <n v="21105"/>
    <x v="0"/>
    <x v="1"/>
    <x v="1"/>
    <d v="2024-06-04T00:00:00"/>
    <d v="2024-06-04T14:00:00"/>
    <x v="3"/>
    <x v="0"/>
    <s v="Night"/>
    <n v="5"/>
    <n v="12"/>
    <s v="Plan A"/>
  </r>
  <r>
    <s v="PAT5638"/>
    <n v="14"/>
    <x v="1"/>
    <x v="0"/>
    <d v="2023-05-10T00:00:00"/>
    <d v="2023-10-19T00:00:00"/>
    <n v="14"/>
    <x v="4"/>
    <n v="4"/>
    <s v="Dr. Gupta"/>
    <n v="12939"/>
    <x v="2"/>
    <x v="1"/>
    <x v="1"/>
    <d v="2023-03-10T00:00:00"/>
    <d v="2023-04-10T17:00:00"/>
    <x v="2"/>
    <x v="0"/>
    <s v="Afternoon"/>
    <n v="10"/>
    <n v="12"/>
    <s v="Plan B"/>
  </r>
  <r>
    <s v="PAT5639"/>
    <n v="15"/>
    <x v="1"/>
    <x v="1"/>
    <d v="2023-10-11T00:00:00"/>
    <d v="2023-11-23T00:00:00"/>
    <n v="13"/>
    <x v="3"/>
    <n v="2"/>
    <s v="Dr. Mehta"/>
    <n v="18936"/>
    <x v="1"/>
    <x v="1"/>
    <x v="0"/>
    <d v="2023-10-11T00:00:00"/>
    <d v="2023-12-11T00:00:00"/>
    <x v="1"/>
    <x v="0"/>
    <s v="Morning"/>
    <n v="7"/>
    <n v="12"/>
    <s v="Plan C"/>
  </r>
  <r>
    <s v="PAT5640"/>
    <n v="31"/>
    <x v="3"/>
    <x v="1"/>
    <d v="2023-09-15T00:00:00"/>
    <d v="2023-09-17T00:00:00"/>
    <n v="2"/>
    <x v="4"/>
    <n v="2"/>
    <s v="Dr. Gupta"/>
    <n v="47029"/>
    <x v="1"/>
    <x v="0"/>
    <x v="0"/>
    <d v="2023-10-09T00:00:00"/>
    <d v="2023-10-09T10:00:00"/>
    <x v="3"/>
    <x v="0"/>
    <s v="Night"/>
    <n v="5"/>
    <n v="10"/>
    <s v="Plan B"/>
  </r>
  <r>
    <s v="PAT5641"/>
    <n v="1"/>
    <x v="1"/>
    <x v="3"/>
    <d v="2023-08-25T00:00:00"/>
    <d v="2023-03-09T00:00:00"/>
    <n v="9"/>
    <x v="4"/>
    <n v="5"/>
    <s v="Dr. Gupta"/>
    <n v="20863"/>
    <x v="0"/>
    <x v="1"/>
    <x v="1"/>
    <d v="2023-08-24T00:00:00"/>
    <d v="2023-08-25T03:00:00"/>
    <x v="1"/>
    <x v="0"/>
    <s v="Morning"/>
    <n v="5"/>
    <n v="12"/>
    <s v="Plan A"/>
  </r>
  <r>
    <s v="PAT5642"/>
    <n v="54"/>
    <x v="0"/>
    <x v="3"/>
    <d v="2023-04-05T00:00:00"/>
    <d v="2023-05-17T00:00:00"/>
    <n v="13"/>
    <x v="4"/>
    <n v="5"/>
    <s v="Dr. Rao"/>
    <n v="17561"/>
    <x v="1"/>
    <x v="1"/>
    <x v="0"/>
    <d v="2023-04-30T00:00:00"/>
    <d v="2023-01-05T16:00:00"/>
    <x v="2"/>
    <x v="0"/>
    <s v="Night"/>
    <n v="10"/>
    <n v="12"/>
    <s v="Plan B"/>
  </r>
  <r>
    <s v="PAT5643"/>
    <n v="3"/>
    <x v="1"/>
    <x v="0"/>
    <d v="2023-07-17T00:00:00"/>
    <d v="2023-07-26T00:00:00"/>
    <n v="9"/>
    <x v="2"/>
    <n v="2"/>
    <s v="Dr. Rao"/>
    <n v="15447"/>
    <x v="4"/>
    <x v="1"/>
    <x v="0"/>
    <d v="2023-07-17T00:00:00"/>
    <d v="2023-07-18T20:00:00"/>
    <x v="3"/>
    <x v="0"/>
    <s v="Morning"/>
    <n v="7"/>
    <n v="10"/>
    <s v="Plan C"/>
  </r>
  <r>
    <s v="PAT5644"/>
    <n v="16"/>
    <x v="1"/>
    <x v="3"/>
    <d v="2023-11-20T00:00:00"/>
    <d v="2023-04-12T00:00:00"/>
    <n v="14"/>
    <x v="3"/>
    <n v="2"/>
    <s v="Dr. Mehta"/>
    <n v="35624"/>
    <x v="0"/>
    <x v="1"/>
    <x v="0"/>
    <d v="2023-11-20T00:00:00"/>
    <d v="2023-11-21T05:00:00"/>
    <x v="0"/>
    <x v="0"/>
    <s v="Night"/>
    <n v="9"/>
    <n v="8"/>
    <s v="Plan A"/>
  </r>
  <r>
    <s v="PAT5645"/>
    <n v="87"/>
    <x v="2"/>
    <x v="2"/>
    <d v="2023-03-05T00:00:00"/>
    <d v="2023-05-15T00:00:00"/>
    <n v="12"/>
    <x v="4"/>
    <n v="4"/>
    <s v="Dr. Sharma"/>
    <n v="49646"/>
    <x v="3"/>
    <x v="1"/>
    <x v="0"/>
    <d v="2023-04-30T00:00:00"/>
    <d v="2023-04-30T14:00:00"/>
    <x v="0"/>
    <x v="0"/>
    <s v="Morning"/>
    <n v="6"/>
    <n v="8"/>
    <s v="Plan C"/>
  </r>
  <r>
    <s v="PAT5646"/>
    <n v="57"/>
    <x v="0"/>
    <x v="4"/>
    <d v="2023-09-07T00:00:00"/>
    <d v="2023-07-24T00:00:00"/>
    <n v="15"/>
    <x v="4"/>
    <n v="2"/>
    <s v="Dr. Mehta"/>
    <n v="17411"/>
    <x v="4"/>
    <x v="0"/>
    <x v="0"/>
    <d v="2023-07-07T00:00:00"/>
    <d v="2023-07-07T06:00:00"/>
    <x v="1"/>
    <x v="0"/>
    <s v="Morning"/>
    <n v="9"/>
    <n v="8"/>
    <s v="Plan C"/>
  </r>
  <r>
    <s v="PAT5647"/>
    <n v="75"/>
    <x v="2"/>
    <x v="4"/>
    <d v="2023-07-16T00:00:00"/>
    <d v="2023-07-25T00:00:00"/>
    <n v="9"/>
    <x v="2"/>
    <n v="3"/>
    <s v="Dr. Mehta"/>
    <n v="24465"/>
    <x v="4"/>
    <x v="1"/>
    <x v="0"/>
    <d v="2023-11-07T00:00:00"/>
    <d v="2023-11-07T07:00:00"/>
    <x v="0"/>
    <x v="1"/>
    <s v="Afternoon"/>
    <n v="8"/>
    <n v="10"/>
    <s v="Plan B"/>
  </r>
  <r>
    <s v="PAT5648"/>
    <n v="12"/>
    <x v="1"/>
    <x v="4"/>
    <d v="2023-10-08T00:00:00"/>
    <d v="2023-11-08T00:00:00"/>
    <n v="1"/>
    <x v="3"/>
    <n v="1"/>
    <s v="Dr. Patel"/>
    <n v="43216"/>
    <x v="4"/>
    <x v="1"/>
    <x v="0"/>
    <d v="2023-10-08T00:00:00"/>
    <d v="2023-10-08T09:00:00"/>
    <x v="0"/>
    <x v="0"/>
    <s v="Night"/>
    <n v="8"/>
    <n v="12"/>
    <s v="Plan C"/>
  </r>
  <r>
    <s v="PAT5649"/>
    <n v="74"/>
    <x v="2"/>
    <x v="0"/>
    <d v="2024-10-05T00:00:00"/>
    <d v="2024-05-21T00:00:00"/>
    <n v="11"/>
    <x v="1"/>
    <n v="2"/>
    <s v="Dr. Patel"/>
    <n v="24642"/>
    <x v="3"/>
    <x v="1"/>
    <x v="0"/>
    <d v="2024-06-05T00:00:00"/>
    <d v="2024-06-05T08:00:00"/>
    <x v="0"/>
    <x v="0"/>
    <s v="Night"/>
    <n v="5"/>
    <n v="12"/>
    <s v="Plan A"/>
  </r>
  <r>
    <s v="PAT5650"/>
    <n v="16"/>
    <x v="1"/>
    <x v="0"/>
    <d v="2023-11-10T00:00:00"/>
    <d v="2023-10-17T00:00:00"/>
    <n v="6"/>
    <x v="2"/>
    <n v="5"/>
    <s v="Dr. Mehta"/>
    <n v="36262"/>
    <x v="2"/>
    <x v="0"/>
    <x v="1"/>
    <d v="2023-11-10T00:00:00"/>
    <d v="2023-12-10T14:00:00"/>
    <x v="2"/>
    <x v="0"/>
    <s v="Afternoon"/>
    <n v="11"/>
    <n v="12"/>
    <s v="Plan C"/>
  </r>
  <r>
    <s v="PAT5651"/>
    <n v="72"/>
    <x v="2"/>
    <x v="5"/>
    <d v="2024-06-21T00:00:00"/>
    <d v="2024-06-07T00:00:00"/>
    <n v="15"/>
    <x v="3"/>
    <n v="3"/>
    <s v="Dr. Mehta"/>
    <n v="35363"/>
    <x v="1"/>
    <x v="1"/>
    <x v="0"/>
    <d v="2024-06-21T00:00:00"/>
    <d v="2024-06-22T23:00:00"/>
    <x v="0"/>
    <x v="0"/>
    <s v="Morning"/>
    <n v="8"/>
    <n v="12"/>
    <s v="Plan C"/>
  </r>
  <r>
    <s v="PAT5652"/>
    <n v="76"/>
    <x v="2"/>
    <x v="4"/>
    <d v="2023-10-17T00:00:00"/>
    <d v="2023-10-30T00:00:00"/>
    <n v="13"/>
    <x v="4"/>
    <n v="5"/>
    <s v="Dr. Mehta"/>
    <n v="7107"/>
    <x v="0"/>
    <x v="0"/>
    <x v="1"/>
    <d v="2023-10-14T00:00:00"/>
    <d v="2023-10-15T01:00:00"/>
    <x v="4"/>
    <x v="0"/>
    <s v="Morning"/>
    <n v="6"/>
    <n v="10"/>
    <s v="Plan B"/>
  </r>
  <r>
    <s v="PAT5653"/>
    <n v="24"/>
    <x v="3"/>
    <x v="2"/>
    <d v="2023-04-13T00:00:00"/>
    <d v="2023-04-23T00:00:00"/>
    <n v="10"/>
    <x v="3"/>
    <n v="3"/>
    <s v="Dr. Gupta"/>
    <n v="12928"/>
    <x v="2"/>
    <x v="1"/>
    <x v="1"/>
    <d v="2023-04-13T00:00:00"/>
    <d v="2023-04-13T23:00:00"/>
    <x v="3"/>
    <x v="0"/>
    <s v="Night"/>
    <n v="5"/>
    <n v="12"/>
    <s v="Plan C"/>
  </r>
  <r>
    <s v="PAT5654"/>
    <n v="28"/>
    <x v="3"/>
    <x v="3"/>
    <d v="2023-07-18T00:00:00"/>
    <d v="2023-07-21T00:00:00"/>
    <n v="3"/>
    <x v="3"/>
    <n v="2"/>
    <s v="Dr. Patel"/>
    <n v="24317"/>
    <x v="0"/>
    <x v="1"/>
    <x v="1"/>
    <d v="2023-07-16T00:00:00"/>
    <d v="2023-07-17T04:00:00"/>
    <x v="0"/>
    <x v="0"/>
    <s v="Morning"/>
    <n v="10"/>
    <n v="8"/>
    <s v="Plan B"/>
  </r>
  <r>
    <s v="PAT5655"/>
    <n v="8"/>
    <x v="1"/>
    <x v="2"/>
    <d v="2023-10-31T00:00:00"/>
    <d v="2023-10-11T00:00:00"/>
    <n v="10"/>
    <x v="0"/>
    <n v="1"/>
    <s v="Dr. Mehta"/>
    <n v="30017"/>
    <x v="1"/>
    <x v="1"/>
    <x v="1"/>
    <d v="2023-10-28T00:00:00"/>
    <d v="2023-10-28T21:00:00"/>
    <x v="0"/>
    <x v="0"/>
    <s v="Night"/>
    <n v="8"/>
    <n v="10"/>
    <s v="Plan B"/>
  </r>
  <r>
    <s v="PAT5656"/>
    <n v="36"/>
    <x v="4"/>
    <x v="3"/>
    <d v="2023-08-21T00:00:00"/>
    <d v="2023-08-28T00:00:00"/>
    <n v="7"/>
    <x v="3"/>
    <n v="5"/>
    <s v="Dr. Rao"/>
    <n v="18528"/>
    <x v="3"/>
    <x v="1"/>
    <x v="0"/>
    <d v="2023-08-20T00:00:00"/>
    <d v="2023-08-20T09:00:00"/>
    <x v="0"/>
    <x v="0"/>
    <s v="Night"/>
    <n v="11"/>
    <n v="10"/>
    <s v="Plan A"/>
  </r>
  <r>
    <s v="PAT5657"/>
    <n v="8"/>
    <x v="1"/>
    <x v="4"/>
    <d v="2024-05-01T00:00:00"/>
    <d v="2024-08-01T00:00:00"/>
    <n v="3"/>
    <x v="1"/>
    <n v="3"/>
    <s v="Dr. Rao"/>
    <n v="18313"/>
    <x v="4"/>
    <x v="0"/>
    <x v="1"/>
    <d v="2024-04-01T00:00:00"/>
    <d v="2024-04-01T16:00:00"/>
    <x v="4"/>
    <x v="0"/>
    <s v="Morning"/>
    <n v="10"/>
    <n v="8"/>
    <s v="Plan A"/>
  </r>
  <r>
    <s v="PAT5658"/>
    <n v="58"/>
    <x v="0"/>
    <x v="4"/>
    <d v="2023-03-07T00:00:00"/>
    <d v="2023-06-07T00:00:00"/>
    <n v="3"/>
    <x v="3"/>
    <n v="4"/>
    <s v="Dr. Gupta"/>
    <n v="6559"/>
    <x v="4"/>
    <x v="1"/>
    <x v="0"/>
    <d v="2023-06-28T00:00:00"/>
    <d v="2023-06-28T18:00:00"/>
    <x v="0"/>
    <x v="0"/>
    <s v="Morning"/>
    <n v="4"/>
    <n v="8"/>
    <s v="Plan A"/>
  </r>
  <r>
    <s v="PAT5659"/>
    <n v="60"/>
    <x v="0"/>
    <x v="4"/>
    <d v="2023-06-11T00:00:00"/>
    <d v="2023-09-11T00:00:00"/>
    <n v="3"/>
    <x v="1"/>
    <n v="2"/>
    <s v="Dr. Gupta"/>
    <n v="20167"/>
    <x v="3"/>
    <x v="1"/>
    <x v="0"/>
    <d v="2023-01-11T00:00:00"/>
    <d v="2023-02-11T18:00:00"/>
    <x v="0"/>
    <x v="0"/>
    <s v="Morning"/>
    <n v="4"/>
    <n v="12"/>
    <s v="Plan A"/>
  </r>
  <r>
    <s v="PAT5660"/>
    <n v="50"/>
    <x v="4"/>
    <x v="0"/>
    <d v="2023-01-15T00:00:00"/>
    <d v="2023-01-29T00:00:00"/>
    <n v="14"/>
    <x v="4"/>
    <n v="1"/>
    <s v="Dr. Sharma"/>
    <n v="20343"/>
    <x v="2"/>
    <x v="0"/>
    <x v="0"/>
    <d v="2023-10-01T00:00:00"/>
    <d v="2023-10-01T06:00:00"/>
    <x v="3"/>
    <x v="0"/>
    <s v="Afternoon"/>
    <n v="4"/>
    <n v="8"/>
    <s v="Plan B"/>
  </r>
  <r>
    <s v="PAT5661"/>
    <n v="28"/>
    <x v="3"/>
    <x v="3"/>
    <d v="2023-10-05T00:00:00"/>
    <d v="2023-05-22T00:00:00"/>
    <n v="12"/>
    <x v="1"/>
    <n v="2"/>
    <s v="Dr. Sharma"/>
    <n v="43598"/>
    <x v="2"/>
    <x v="1"/>
    <x v="1"/>
    <d v="2023-07-05T00:00:00"/>
    <d v="2023-07-05T16:00:00"/>
    <x v="4"/>
    <x v="0"/>
    <s v="Night"/>
    <n v="10"/>
    <n v="10"/>
    <s v="Plan C"/>
  </r>
  <r>
    <s v="PAT5662"/>
    <n v="41"/>
    <x v="4"/>
    <x v="0"/>
    <d v="2023-08-10T00:00:00"/>
    <d v="2023-10-21T00:00:00"/>
    <n v="13"/>
    <x v="4"/>
    <n v="4"/>
    <s v="Dr. Sharma"/>
    <n v="12523"/>
    <x v="0"/>
    <x v="1"/>
    <x v="0"/>
    <d v="2023-06-10T00:00:00"/>
    <d v="2023-07-10T12:00:00"/>
    <x v="4"/>
    <x v="0"/>
    <s v="Morning"/>
    <n v="4"/>
    <n v="10"/>
    <s v="Plan A"/>
  </r>
  <r>
    <s v="PAT5663"/>
    <n v="64"/>
    <x v="0"/>
    <x v="0"/>
    <d v="2023-02-16T00:00:00"/>
    <d v="2023-02-26T00:00:00"/>
    <n v="10"/>
    <x v="4"/>
    <n v="1"/>
    <s v="Dr. Gupta"/>
    <n v="33439"/>
    <x v="3"/>
    <x v="0"/>
    <x v="0"/>
    <d v="2023-02-13T00:00:00"/>
    <d v="2023-02-14T15:00:00"/>
    <x v="0"/>
    <x v="0"/>
    <s v="Afternoon"/>
    <n v="9"/>
    <n v="10"/>
    <s v="Plan A"/>
  </r>
  <r>
    <s v="PAT5664"/>
    <n v="27"/>
    <x v="3"/>
    <x v="1"/>
    <d v="2023-02-25T00:00:00"/>
    <d v="2023-10-03T00:00:00"/>
    <n v="13"/>
    <x v="1"/>
    <n v="4"/>
    <s v="Dr. Gupta"/>
    <n v="20524"/>
    <x v="2"/>
    <x v="1"/>
    <x v="0"/>
    <d v="2023-02-22T00:00:00"/>
    <d v="2023-02-23T15:00:00"/>
    <x v="4"/>
    <x v="0"/>
    <s v="Morning"/>
    <n v="4"/>
    <n v="12"/>
    <s v="Plan A"/>
  </r>
  <r>
    <s v="PAT5665"/>
    <n v="63"/>
    <x v="0"/>
    <x v="2"/>
    <d v="2023-10-27T00:00:00"/>
    <d v="2023-11-11T00:00:00"/>
    <n v="15"/>
    <x v="2"/>
    <n v="2"/>
    <s v="Dr. Gupta"/>
    <n v="18285"/>
    <x v="3"/>
    <x v="0"/>
    <x v="0"/>
    <d v="2023-10-24T00:00:00"/>
    <d v="2023-10-25T23:00:00"/>
    <x v="1"/>
    <x v="0"/>
    <s v="Night"/>
    <n v="5"/>
    <n v="12"/>
    <s v="Plan C"/>
  </r>
  <r>
    <s v="PAT5666"/>
    <n v="17"/>
    <x v="1"/>
    <x v="2"/>
    <d v="2023-10-05T00:00:00"/>
    <d v="2023-05-13T00:00:00"/>
    <n v="3"/>
    <x v="5"/>
    <n v="3"/>
    <s v="Dr. Rao"/>
    <n v="15973"/>
    <x v="1"/>
    <x v="1"/>
    <x v="0"/>
    <d v="2023-07-05T00:00:00"/>
    <d v="2023-08-05T15:00:00"/>
    <x v="4"/>
    <x v="0"/>
    <s v="Afternoon"/>
    <n v="7"/>
    <n v="8"/>
    <s v="Plan A"/>
  </r>
  <r>
    <s v="PAT5667"/>
    <n v="73"/>
    <x v="2"/>
    <x v="5"/>
    <d v="2024-05-17T00:00:00"/>
    <d v="2024-05-29T00:00:00"/>
    <n v="12"/>
    <x v="3"/>
    <n v="2"/>
    <s v="Dr. Gupta"/>
    <n v="27694"/>
    <x v="4"/>
    <x v="0"/>
    <x v="0"/>
    <d v="2024-05-17T00:00:00"/>
    <d v="2024-05-17T19:00:00"/>
    <x v="4"/>
    <x v="0"/>
    <s v="Night"/>
    <n v="9"/>
    <n v="12"/>
    <s v="Plan C"/>
  </r>
  <r>
    <s v="PAT5668"/>
    <n v="33"/>
    <x v="3"/>
    <x v="0"/>
    <d v="2023-04-16T00:00:00"/>
    <d v="2023-04-24T00:00:00"/>
    <n v="8"/>
    <x v="0"/>
    <n v="2"/>
    <s v="Dr. Rao"/>
    <n v="40774"/>
    <x v="4"/>
    <x v="1"/>
    <x v="0"/>
    <d v="2023-11-04T00:00:00"/>
    <d v="2023-12-04T21:00:00"/>
    <x v="4"/>
    <x v="0"/>
    <s v="Morning"/>
    <n v="11"/>
    <n v="12"/>
    <s v="Plan B"/>
  </r>
  <r>
    <s v="PAT5669"/>
    <n v="84"/>
    <x v="2"/>
    <x v="3"/>
    <d v="2023-01-13T00:00:00"/>
    <d v="2023-01-14T00:00:00"/>
    <n v="1"/>
    <x v="5"/>
    <n v="2"/>
    <s v="Dr. Sharma"/>
    <n v="9302"/>
    <x v="4"/>
    <x v="0"/>
    <x v="0"/>
    <d v="2023-08-01T00:00:00"/>
    <d v="2023-08-01T02:00:00"/>
    <x v="2"/>
    <x v="0"/>
    <s v="Morning"/>
    <n v="7"/>
    <n v="10"/>
    <s v="Plan B"/>
  </r>
  <r>
    <s v="PAT5670"/>
    <n v="77"/>
    <x v="2"/>
    <x v="1"/>
    <d v="2023-10-19T00:00:00"/>
    <d v="2023-10-26T00:00:00"/>
    <n v="7"/>
    <x v="3"/>
    <n v="5"/>
    <s v="Dr. Sharma"/>
    <n v="27391"/>
    <x v="3"/>
    <x v="1"/>
    <x v="1"/>
    <d v="2023-10-15T00:00:00"/>
    <d v="2023-10-16T19:00:00"/>
    <x v="2"/>
    <x v="0"/>
    <s v="Morning"/>
    <n v="5"/>
    <n v="10"/>
    <s v="Plan B"/>
  </r>
  <r>
    <s v="PAT5671"/>
    <n v="29"/>
    <x v="3"/>
    <x v="1"/>
    <d v="2024-04-25T00:00:00"/>
    <d v="2024-01-05T00:00:00"/>
    <n v="6"/>
    <x v="3"/>
    <n v="4"/>
    <s v="Dr. Sharma"/>
    <n v="9611"/>
    <x v="3"/>
    <x v="0"/>
    <x v="0"/>
    <d v="2024-04-24T00:00:00"/>
    <d v="2024-04-24T20:00:00"/>
    <x v="2"/>
    <x v="0"/>
    <s v="Afternoon"/>
    <n v="11"/>
    <n v="8"/>
    <s v="Plan C"/>
  </r>
  <r>
    <s v="PAT5672"/>
    <n v="13"/>
    <x v="1"/>
    <x v="2"/>
    <d v="2024-05-05T00:00:00"/>
    <d v="2024-05-16T00:00:00"/>
    <n v="11"/>
    <x v="4"/>
    <n v="4"/>
    <s v="Dr. Mehta"/>
    <n v="14372"/>
    <x v="0"/>
    <x v="1"/>
    <x v="1"/>
    <d v="2024-04-30T00:00:00"/>
    <d v="2024-04-30T14:00:00"/>
    <x v="4"/>
    <x v="0"/>
    <s v="Afternoon"/>
    <n v="5"/>
    <n v="10"/>
    <s v="Plan A"/>
  </r>
  <r>
    <s v="PAT5673"/>
    <n v="46"/>
    <x v="4"/>
    <x v="0"/>
    <d v="2024-03-27T00:00:00"/>
    <d v="2024-08-04T00:00:00"/>
    <n v="12"/>
    <x v="3"/>
    <n v="4"/>
    <s v="Dr. Mehta"/>
    <n v="29312"/>
    <x v="4"/>
    <x v="1"/>
    <x v="0"/>
    <d v="2024-03-25T00:00:00"/>
    <d v="2024-03-26T10:00:00"/>
    <x v="1"/>
    <x v="0"/>
    <s v="Afternoon"/>
    <n v="6"/>
    <n v="12"/>
    <s v="Plan A"/>
  </r>
  <r>
    <s v="PAT5674"/>
    <n v="35"/>
    <x v="3"/>
    <x v="5"/>
    <d v="2023-12-15T00:00:00"/>
    <d v="2023-12-19T00:00:00"/>
    <n v="4"/>
    <x v="0"/>
    <n v="5"/>
    <s v="Dr. Patel"/>
    <n v="19080"/>
    <x v="0"/>
    <x v="1"/>
    <x v="0"/>
    <d v="2023-12-15T00:00:00"/>
    <d v="2023-12-16T15:00:00"/>
    <x v="4"/>
    <x v="0"/>
    <s v="Afternoon"/>
    <n v="11"/>
    <n v="8"/>
    <s v="Plan A"/>
  </r>
  <r>
    <s v="PAT5675"/>
    <n v="6"/>
    <x v="1"/>
    <x v="0"/>
    <d v="2023-08-07T00:00:00"/>
    <d v="2023-07-16T00:00:00"/>
    <n v="8"/>
    <x v="3"/>
    <n v="3"/>
    <s v="Dr. Patel"/>
    <n v="20082"/>
    <x v="4"/>
    <x v="0"/>
    <x v="0"/>
    <d v="2023-07-07T00:00:00"/>
    <d v="2023-08-07T09:00:00"/>
    <x v="0"/>
    <x v="0"/>
    <s v="Morning"/>
    <n v="9"/>
    <n v="8"/>
    <s v="Plan A"/>
  </r>
  <r>
    <s v="PAT5676"/>
    <n v="82"/>
    <x v="2"/>
    <x v="4"/>
    <d v="2023-02-22T00:00:00"/>
    <d v="2023-04-03T00:00:00"/>
    <n v="10"/>
    <x v="1"/>
    <n v="2"/>
    <s v="Dr. Patel"/>
    <n v="47861"/>
    <x v="0"/>
    <x v="0"/>
    <x v="0"/>
    <d v="2023-02-18T00:00:00"/>
    <d v="2023-02-18T13:00:00"/>
    <x v="1"/>
    <x v="0"/>
    <s v="Morning"/>
    <n v="7"/>
    <n v="10"/>
    <s v="Plan A"/>
  </r>
  <r>
    <s v="PAT5677"/>
    <n v="69"/>
    <x v="2"/>
    <x v="0"/>
    <d v="2023-09-16T00:00:00"/>
    <d v="2023-09-21T00:00:00"/>
    <n v="5"/>
    <x v="5"/>
    <n v="3"/>
    <s v="Dr. Mehta"/>
    <n v="35677"/>
    <x v="0"/>
    <x v="1"/>
    <x v="0"/>
    <d v="2023-09-13T00:00:00"/>
    <d v="2023-09-15T00:00:00"/>
    <x v="2"/>
    <x v="0"/>
    <s v="Morning"/>
    <n v="4"/>
    <n v="10"/>
    <s v="Plan C"/>
  </r>
  <r>
    <s v="PAT5678"/>
    <n v="47"/>
    <x v="4"/>
    <x v="4"/>
    <d v="2024-04-05T00:00:00"/>
    <d v="2024-05-17T00:00:00"/>
    <n v="13"/>
    <x v="1"/>
    <n v="5"/>
    <s v="Dr. Mehta"/>
    <n v="25874"/>
    <x v="1"/>
    <x v="1"/>
    <x v="0"/>
    <d v="2024-04-30T00:00:00"/>
    <d v="2024-01-05T02:00:00"/>
    <x v="3"/>
    <x v="1"/>
    <s v="Afternoon"/>
    <n v="5"/>
    <n v="10"/>
    <s v="Plan B"/>
  </r>
  <r>
    <s v="PAT5679"/>
    <n v="25"/>
    <x v="3"/>
    <x v="4"/>
    <d v="2023-04-27T00:00:00"/>
    <d v="2023-09-05T00:00:00"/>
    <n v="12"/>
    <x v="0"/>
    <n v="4"/>
    <s v="Dr. Patel"/>
    <n v="13378"/>
    <x v="0"/>
    <x v="0"/>
    <x v="0"/>
    <d v="2023-04-26T00:00:00"/>
    <d v="2023-04-26T19:00:00"/>
    <x v="1"/>
    <x v="1"/>
    <s v="Afternoon"/>
    <n v="4"/>
    <n v="8"/>
    <s v="Plan A"/>
  </r>
  <r>
    <s v="PAT5680"/>
    <n v="66"/>
    <x v="2"/>
    <x v="5"/>
    <d v="2023-08-03T00:00:00"/>
    <d v="2023-03-21T00:00:00"/>
    <n v="13"/>
    <x v="3"/>
    <n v="2"/>
    <s v="Dr. Patel"/>
    <n v="6597"/>
    <x v="3"/>
    <x v="1"/>
    <x v="0"/>
    <d v="2023-03-03T00:00:00"/>
    <d v="2023-04-03T18:00:00"/>
    <x v="2"/>
    <x v="0"/>
    <s v="Morning"/>
    <n v="11"/>
    <n v="10"/>
    <s v="Plan B"/>
  </r>
  <r>
    <s v="PAT5681"/>
    <n v="10"/>
    <x v="1"/>
    <x v="3"/>
    <d v="2024-02-15T00:00:00"/>
    <d v="2024-02-23T00:00:00"/>
    <n v="8"/>
    <x v="0"/>
    <n v="1"/>
    <s v="Dr. Gupta"/>
    <n v="16600"/>
    <x v="0"/>
    <x v="0"/>
    <x v="1"/>
    <d v="2024-02-14T00:00:00"/>
    <d v="2024-02-14T04:00:00"/>
    <x v="1"/>
    <x v="0"/>
    <s v="Morning"/>
    <n v="7"/>
    <n v="12"/>
    <s v="Plan C"/>
  </r>
  <r>
    <s v="PAT5682"/>
    <n v="56"/>
    <x v="0"/>
    <x v="2"/>
    <d v="2024-05-18T00:00:00"/>
    <d v="2024-05-22T00:00:00"/>
    <n v="4"/>
    <x v="4"/>
    <n v="1"/>
    <s v="Dr. Patel"/>
    <n v="8747"/>
    <x v="4"/>
    <x v="1"/>
    <x v="0"/>
    <d v="2024-05-18T00:00:00"/>
    <d v="2024-05-18T16:00:00"/>
    <x v="1"/>
    <x v="0"/>
    <s v="Afternoon"/>
    <n v="10"/>
    <n v="8"/>
    <s v="Plan C"/>
  </r>
  <r>
    <s v="PAT5683"/>
    <n v="30"/>
    <x v="3"/>
    <x v="0"/>
    <d v="2023-03-17T00:00:00"/>
    <d v="2023-03-26T00:00:00"/>
    <n v="9"/>
    <x v="1"/>
    <n v="3"/>
    <s v="Dr. Gupta"/>
    <n v="18879"/>
    <x v="0"/>
    <x v="0"/>
    <x v="0"/>
    <d v="2023-03-17T00:00:00"/>
    <d v="2023-03-18T08:00:00"/>
    <x v="4"/>
    <x v="0"/>
    <s v="Night"/>
    <n v="9"/>
    <n v="10"/>
    <s v="Plan A"/>
  </r>
  <r>
    <s v="PAT5684"/>
    <n v="5"/>
    <x v="1"/>
    <x v="4"/>
    <d v="2023-02-24T00:00:00"/>
    <d v="2023-02-28T00:00:00"/>
    <n v="4"/>
    <x v="1"/>
    <n v="4"/>
    <s v="Dr. Rao"/>
    <n v="18017"/>
    <x v="2"/>
    <x v="1"/>
    <x v="1"/>
    <d v="2023-02-22T00:00:00"/>
    <d v="2023-02-23T01:00:00"/>
    <x v="0"/>
    <x v="0"/>
    <s v="Morning"/>
    <n v="8"/>
    <n v="12"/>
    <s v="Plan C"/>
  </r>
  <r>
    <s v="PAT5685"/>
    <n v="33"/>
    <x v="3"/>
    <x v="0"/>
    <d v="2023-05-06T00:00:00"/>
    <d v="2023-10-06T00:00:00"/>
    <n v="5"/>
    <x v="2"/>
    <n v="1"/>
    <s v="Dr. Mehta"/>
    <n v="29815"/>
    <x v="4"/>
    <x v="1"/>
    <x v="0"/>
    <d v="2023-02-06T00:00:00"/>
    <d v="2023-02-06T08:00:00"/>
    <x v="3"/>
    <x v="1"/>
    <s v="Morning"/>
    <n v="10"/>
    <n v="12"/>
    <s v="Plan B"/>
  </r>
  <r>
    <s v="PAT5686"/>
    <n v="65"/>
    <x v="0"/>
    <x v="3"/>
    <d v="2023-02-06T00:00:00"/>
    <d v="2023-06-15T00:00:00"/>
    <n v="13"/>
    <x v="3"/>
    <n v="3"/>
    <s v="Dr. Patel"/>
    <n v="23964"/>
    <x v="2"/>
    <x v="0"/>
    <x v="1"/>
    <d v="2023-05-28T00:00:00"/>
    <d v="2023-05-28T16:00:00"/>
    <x v="2"/>
    <x v="0"/>
    <s v="Morning"/>
    <n v="11"/>
    <n v="10"/>
    <s v="Plan A"/>
  </r>
  <r>
    <s v="PAT5687"/>
    <n v="18"/>
    <x v="3"/>
    <x v="2"/>
    <d v="2023-08-11T00:00:00"/>
    <d v="2023-11-21T00:00:00"/>
    <n v="13"/>
    <x v="4"/>
    <n v="5"/>
    <s v="Dr. Mehta"/>
    <n v="33812"/>
    <x v="4"/>
    <x v="0"/>
    <x v="0"/>
    <d v="2023-03-11T00:00:00"/>
    <d v="2023-04-11T08:00:00"/>
    <x v="1"/>
    <x v="0"/>
    <s v="Afternoon"/>
    <n v="11"/>
    <n v="12"/>
    <s v="Plan A"/>
  </r>
  <r>
    <s v="PAT5688"/>
    <n v="49"/>
    <x v="4"/>
    <x v="3"/>
    <d v="2023-03-29T00:00:00"/>
    <d v="2023-06-04T00:00:00"/>
    <n v="8"/>
    <x v="1"/>
    <n v="3"/>
    <s v="Dr. Mehta"/>
    <n v="45200"/>
    <x v="3"/>
    <x v="0"/>
    <x v="0"/>
    <d v="2023-03-25T00:00:00"/>
    <d v="2023-03-26T17:00:00"/>
    <x v="3"/>
    <x v="0"/>
    <s v="Morning"/>
    <n v="10"/>
    <n v="8"/>
    <s v="Plan B"/>
  </r>
  <r>
    <s v="PAT5689"/>
    <n v="11"/>
    <x v="1"/>
    <x v="2"/>
    <d v="2023-12-09T00:00:00"/>
    <d v="2023-09-27T00:00:00"/>
    <n v="15"/>
    <x v="1"/>
    <n v="3"/>
    <s v="Dr. Mehta"/>
    <n v="29714"/>
    <x v="3"/>
    <x v="1"/>
    <x v="0"/>
    <d v="2023-09-09T00:00:00"/>
    <d v="2023-10-09T15:00:00"/>
    <x v="1"/>
    <x v="0"/>
    <s v="Morning"/>
    <n v="8"/>
    <n v="8"/>
    <s v="Plan A"/>
  </r>
  <r>
    <s v="PAT5690"/>
    <n v="85"/>
    <x v="2"/>
    <x v="1"/>
    <d v="2023-02-05T00:00:00"/>
    <d v="2023-05-16T00:00:00"/>
    <n v="14"/>
    <x v="4"/>
    <n v="3"/>
    <s v="Dr. Rao"/>
    <n v="23890"/>
    <x v="3"/>
    <x v="1"/>
    <x v="1"/>
    <d v="2023-04-28T00:00:00"/>
    <d v="2023-04-28T05:00:00"/>
    <x v="0"/>
    <x v="1"/>
    <s v="Morning"/>
    <n v="11"/>
    <n v="12"/>
    <s v="Plan A"/>
  </r>
  <r>
    <s v="PAT5691"/>
    <n v="26"/>
    <x v="3"/>
    <x v="2"/>
    <d v="2024-02-03T00:00:00"/>
    <d v="2024-06-03T00:00:00"/>
    <n v="4"/>
    <x v="0"/>
    <n v="2"/>
    <s v="Dr. Sharma"/>
    <n v="9725"/>
    <x v="2"/>
    <x v="1"/>
    <x v="1"/>
    <d v="2024-02-28T00:00:00"/>
    <d v="2024-02-29T10:00:00"/>
    <x v="3"/>
    <x v="0"/>
    <s v="Morning"/>
    <n v="11"/>
    <n v="8"/>
    <s v="Plan B"/>
  </r>
  <r>
    <s v="PAT5692"/>
    <n v="63"/>
    <x v="0"/>
    <x v="5"/>
    <d v="2023-08-20T00:00:00"/>
    <d v="2023-08-26T00:00:00"/>
    <n v="6"/>
    <x v="0"/>
    <n v="3"/>
    <s v="Dr. Patel"/>
    <n v="48205"/>
    <x v="1"/>
    <x v="0"/>
    <x v="1"/>
    <d v="2023-08-19T00:00:00"/>
    <d v="2023-08-19T01:00:00"/>
    <x v="2"/>
    <x v="0"/>
    <s v="Morning"/>
    <n v="5"/>
    <n v="10"/>
    <s v="Plan A"/>
  </r>
  <r>
    <s v="PAT5693"/>
    <n v="89"/>
    <x v="2"/>
    <x v="3"/>
    <d v="2024-06-19T00:00:00"/>
    <d v="2024-06-30T00:00:00"/>
    <n v="11"/>
    <x v="3"/>
    <n v="3"/>
    <s v="Dr. Sharma"/>
    <n v="25684"/>
    <x v="4"/>
    <x v="1"/>
    <x v="0"/>
    <d v="2024-06-18T00:00:00"/>
    <d v="2024-06-19T00:00:00"/>
    <x v="1"/>
    <x v="0"/>
    <s v="Night"/>
    <n v="6"/>
    <n v="12"/>
    <s v="Plan A"/>
  </r>
  <r>
    <s v="PAT5694"/>
    <n v="86"/>
    <x v="2"/>
    <x v="4"/>
    <d v="2024-01-25T00:00:00"/>
    <d v="2024-04-02T00:00:00"/>
    <n v="10"/>
    <x v="2"/>
    <n v="2"/>
    <s v="Dr. Sharma"/>
    <n v="31325"/>
    <x v="3"/>
    <x v="1"/>
    <x v="0"/>
    <d v="2024-01-22T00:00:00"/>
    <d v="2024-01-22T21:00:00"/>
    <x v="0"/>
    <x v="0"/>
    <s v="Night"/>
    <n v="11"/>
    <n v="8"/>
    <s v="Plan B"/>
  </r>
  <r>
    <s v="PAT5695"/>
    <n v="59"/>
    <x v="0"/>
    <x v="1"/>
    <d v="2024-06-04T00:00:00"/>
    <d v="2024-04-14T00:00:00"/>
    <n v="8"/>
    <x v="1"/>
    <n v="2"/>
    <s v="Dr. Sharma"/>
    <n v="37542"/>
    <x v="4"/>
    <x v="1"/>
    <x v="0"/>
    <d v="2024-04-04T00:00:00"/>
    <d v="2024-04-04T09:00:00"/>
    <x v="3"/>
    <x v="0"/>
    <s v="Morning"/>
    <n v="4"/>
    <n v="10"/>
    <s v="Plan C"/>
  </r>
  <r>
    <s v="PAT5696"/>
    <n v="27"/>
    <x v="3"/>
    <x v="5"/>
    <d v="2024-03-29T00:00:00"/>
    <d v="2024-06-04T00:00:00"/>
    <n v="8"/>
    <x v="2"/>
    <n v="5"/>
    <s v="Dr. Mehta"/>
    <n v="18092"/>
    <x v="2"/>
    <x v="1"/>
    <x v="0"/>
    <d v="2024-03-28T00:00:00"/>
    <d v="2024-03-29T01:00:00"/>
    <x v="1"/>
    <x v="0"/>
    <s v="Morning"/>
    <n v="5"/>
    <n v="10"/>
    <s v="Plan B"/>
  </r>
  <r>
    <s v="PAT5697"/>
    <n v="49"/>
    <x v="4"/>
    <x v="0"/>
    <d v="2023-01-11T00:00:00"/>
    <d v="2023-11-14T00:00:00"/>
    <n v="13"/>
    <x v="0"/>
    <n v="4"/>
    <s v="Dr. Gupta"/>
    <n v="35382"/>
    <x v="1"/>
    <x v="0"/>
    <x v="0"/>
    <d v="2023-10-30T00:00:00"/>
    <d v="2023-10-31T13:00:00"/>
    <x v="1"/>
    <x v="0"/>
    <s v="Morning"/>
    <n v="6"/>
    <n v="8"/>
    <s v="Plan A"/>
  </r>
  <r>
    <s v="PAT5698"/>
    <n v="77"/>
    <x v="2"/>
    <x v="3"/>
    <d v="2024-03-15T00:00:00"/>
    <d v="2024-03-20T00:00:00"/>
    <n v="5"/>
    <x v="0"/>
    <n v="1"/>
    <s v="Dr. Mehta"/>
    <n v="44770"/>
    <x v="2"/>
    <x v="1"/>
    <x v="0"/>
    <d v="2024-03-14T00:00:00"/>
    <d v="2024-03-15T03:00:00"/>
    <x v="2"/>
    <x v="0"/>
    <s v="Morning"/>
    <n v="4"/>
    <n v="12"/>
    <s v="Plan B"/>
  </r>
  <r>
    <s v="PAT5699"/>
    <n v="33"/>
    <x v="3"/>
    <x v="4"/>
    <d v="2023-09-11T00:00:00"/>
    <d v="2023-11-22T00:00:00"/>
    <n v="13"/>
    <x v="5"/>
    <n v="1"/>
    <s v="Dr. Mehta"/>
    <n v="30457"/>
    <x v="4"/>
    <x v="1"/>
    <x v="0"/>
    <d v="2023-04-11T00:00:00"/>
    <d v="2023-05-11T00:00:00"/>
    <x v="0"/>
    <x v="0"/>
    <s v="Afternoon"/>
    <n v="7"/>
    <n v="10"/>
    <s v="Plan A"/>
  </r>
  <r>
    <s v="PAT5700"/>
    <n v="1"/>
    <x v="1"/>
    <x v="2"/>
    <d v="2023-03-03T00:00:00"/>
    <d v="2023-10-03T00:00:00"/>
    <n v="7"/>
    <x v="3"/>
    <n v="3"/>
    <s v="Dr. Sharma"/>
    <n v="11131"/>
    <x v="1"/>
    <x v="1"/>
    <x v="0"/>
    <d v="2023-03-03T00:00:00"/>
    <d v="2023-04-03T11:00:00"/>
    <x v="4"/>
    <x v="0"/>
    <s v="Afternoon"/>
    <n v="10"/>
    <n v="10"/>
    <s v="Plan A"/>
  </r>
  <r>
    <s v="PAT5701"/>
    <n v="21"/>
    <x v="3"/>
    <x v="4"/>
    <d v="2023-12-04T00:00:00"/>
    <d v="2023-04-21T00:00:00"/>
    <n v="9"/>
    <x v="5"/>
    <n v="5"/>
    <s v="Dr. Mehta"/>
    <n v="30215"/>
    <x v="1"/>
    <x v="1"/>
    <x v="0"/>
    <d v="2023-12-04T00:00:00"/>
    <d v="2023-04-13T20:00:00"/>
    <x v="1"/>
    <x v="0"/>
    <s v="Afternoon"/>
    <n v="10"/>
    <n v="10"/>
    <s v="Plan B"/>
  </r>
  <r>
    <s v="PAT5702"/>
    <n v="55"/>
    <x v="0"/>
    <x v="0"/>
    <d v="2023-01-08T00:00:00"/>
    <d v="2023-10-08T00:00:00"/>
    <n v="9"/>
    <x v="5"/>
    <n v="3"/>
    <s v="Dr. Sharma"/>
    <n v="17612"/>
    <x v="2"/>
    <x v="1"/>
    <x v="1"/>
    <d v="2023-07-27T00:00:00"/>
    <d v="2023-07-27T12:00:00"/>
    <x v="3"/>
    <x v="0"/>
    <s v="Night"/>
    <n v="8"/>
    <n v="10"/>
    <s v="Plan A"/>
  </r>
  <r>
    <s v="PAT5703"/>
    <n v="6"/>
    <x v="1"/>
    <x v="1"/>
    <d v="2023-05-08T00:00:00"/>
    <d v="2023-12-08T00:00:00"/>
    <n v="7"/>
    <x v="5"/>
    <n v="1"/>
    <s v="Dr. Gupta"/>
    <n v="42305"/>
    <x v="3"/>
    <x v="1"/>
    <x v="1"/>
    <d v="2023-02-08T00:00:00"/>
    <d v="2023-03-08T07:00:00"/>
    <x v="2"/>
    <x v="0"/>
    <s v="Morning"/>
    <n v="6"/>
    <n v="12"/>
    <s v="Plan C"/>
  </r>
  <r>
    <s v="PAT5704"/>
    <n v="81"/>
    <x v="2"/>
    <x v="1"/>
    <d v="2023-09-28T00:00:00"/>
    <d v="2023-01-10T00:00:00"/>
    <n v="3"/>
    <x v="3"/>
    <n v="2"/>
    <s v="Dr. Patel"/>
    <n v="18091"/>
    <x v="4"/>
    <x v="0"/>
    <x v="0"/>
    <d v="2023-09-24T00:00:00"/>
    <d v="2023-09-24T05:00:00"/>
    <x v="2"/>
    <x v="1"/>
    <s v="Afternoon"/>
    <n v="4"/>
    <n v="8"/>
    <s v="Plan A"/>
  </r>
  <r>
    <s v="PAT5705"/>
    <n v="69"/>
    <x v="2"/>
    <x v="3"/>
    <d v="2023-03-25T00:00:00"/>
    <d v="2023-08-04T00:00:00"/>
    <n v="14"/>
    <x v="3"/>
    <n v="4"/>
    <s v="Dr. Sharma"/>
    <n v="40103"/>
    <x v="0"/>
    <x v="1"/>
    <x v="1"/>
    <d v="2023-03-25T00:00:00"/>
    <d v="2023-03-25T02:00:00"/>
    <x v="1"/>
    <x v="0"/>
    <s v="Morning"/>
    <n v="11"/>
    <n v="8"/>
    <s v="Plan B"/>
  </r>
  <r>
    <s v="PAT5706"/>
    <n v="5"/>
    <x v="1"/>
    <x v="1"/>
    <d v="2023-10-06T00:00:00"/>
    <d v="2023-06-14T00:00:00"/>
    <n v="4"/>
    <x v="4"/>
    <n v="5"/>
    <s v="Dr. Gupta"/>
    <n v="42089"/>
    <x v="0"/>
    <x v="1"/>
    <x v="0"/>
    <d v="2023-09-06T00:00:00"/>
    <d v="2023-10-06T14:00:00"/>
    <x v="1"/>
    <x v="0"/>
    <s v="Morning"/>
    <n v="5"/>
    <n v="8"/>
    <s v="Plan C"/>
  </r>
  <r>
    <s v="PAT5707"/>
    <n v="3"/>
    <x v="1"/>
    <x v="3"/>
    <d v="2023-03-09T00:00:00"/>
    <d v="2023-09-16T00:00:00"/>
    <n v="13"/>
    <x v="2"/>
    <n v="2"/>
    <s v="Dr. Patel"/>
    <n v="34759"/>
    <x v="2"/>
    <x v="1"/>
    <x v="0"/>
    <d v="2023-02-09T00:00:00"/>
    <d v="2023-02-09T05:00:00"/>
    <x v="1"/>
    <x v="0"/>
    <s v="Night"/>
    <n v="4"/>
    <n v="10"/>
    <s v="Plan C"/>
  </r>
  <r>
    <s v="PAT5708"/>
    <n v="53"/>
    <x v="0"/>
    <x v="3"/>
    <d v="2023-06-27T00:00:00"/>
    <d v="2023-07-07T00:00:00"/>
    <n v="10"/>
    <x v="2"/>
    <n v="4"/>
    <s v="Dr. Rao"/>
    <n v="5559"/>
    <x v="4"/>
    <x v="0"/>
    <x v="0"/>
    <d v="2023-06-27T00:00:00"/>
    <d v="2023-06-27T01:00:00"/>
    <x v="4"/>
    <x v="0"/>
    <s v="Night"/>
    <n v="5"/>
    <n v="12"/>
    <s v="Plan A"/>
  </r>
  <r>
    <s v="PAT5709"/>
    <n v="23"/>
    <x v="3"/>
    <x v="3"/>
    <d v="2023-03-18T00:00:00"/>
    <d v="2023-03-21T00:00:00"/>
    <n v="3"/>
    <x v="4"/>
    <n v="5"/>
    <s v="Dr. Sharma"/>
    <n v="5713"/>
    <x v="4"/>
    <x v="1"/>
    <x v="0"/>
    <d v="2023-03-18T00:00:00"/>
    <d v="2023-03-18T17:00:00"/>
    <x v="1"/>
    <x v="0"/>
    <s v="Afternoon"/>
    <n v="10"/>
    <n v="8"/>
    <s v="Plan B"/>
  </r>
  <r>
    <s v="PAT5710"/>
    <n v="53"/>
    <x v="0"/>
    <x v="2"/>
    <d v="2023-10-06T00:00:00"/>
    <d v="2023-06-24T00:00:00"/>
    <n v="14"/>
    <x v="4"/>
    <n v="5"/>
    <s v="Dr. Sharma"/>
    <n v="42361"/>
    <x v="2"/>
    <x v="0"/>
    <x v="1"/>
    <d v="2023-06-06T00:00:00"/>
    <d v="2023-06-06T14:00:00"/>
    <x v="0"/>
    <x v="0"/>
    <s v="Afternoon"/>
    <n v="8"/>
    <n v="12"/>
    <s v="Plan A"/>
  </r>
  <r>
    <s v="PAT5711"/>
    <n v="37"/>
    <x v="4"/>
    <x v="5"/>
    <d v="2023-03-01T00:00:00"/>
    <d v="2023-08-01T00:00:00"/>
    <n v="5"/>
    <x v="0"/>
    <n v="1"/>
    <s v="Dr. Rao"/>
    <n v="20184"/>
    <x v="4"/>
    <x v="1"/>
    <x v="0"/>
    <d v="2023-03-01T00:00:00"/>
    <d v="2023-03-01T03:00:00"/>
    <x v="3"/>
    <x v="0"/>
    <s v="Night"/>
    <n v="11"/>
    <n v="8"/>
    <s v="Plan A"/>
  </r>
  <r>
    <s v="PAT5712"/>
    <n v="74"/>
    <x v="2"/>
    <x v="3"/>
    <d v="2024-02-23T00:00:00"/>
    <d v="2024-02-24T00:00:00"/>
    <n v="1"/>
    <x v="5"/>
    <n v="2"/>
    <s v="Dr. Rao"/>
    <n v="20261"/>
    <x v="3"/>
    <x v="0"/>
    <x v="0"/>
    <d v="2024-02-20T00:00:00"/>
    <d v="2024-02-20T04:00:00"/>
    <x v="1"/>
    <x v="0"/>
    <s v="Night"/>
    <n v="8"/>
    <n v="10"/>
    <s v="Plan B"/>
  </r>
  <r>
    <s v="PAT5713"/>
    <n v="74"/>
    <x v="2"/>
    <x v="3"/>
    <d v="2024-06-04T00:00:00"/>
    <d v="2024-04-17T00:00:00"/>
    <n v="11"/>
    <x v="4"/>
    <n v="5"/>
    <s v="Dr. Sharma"/>
    <n v="25372"/>
    <x v="2"/>
    <x v="1"/>
    <x v="0"/>
    <d v="2024-02-04T00:00:00"/>
    <d v="2024-03-04T02:00:00"/>
    <x v="4"/>
    <x v="0"/>
    <s v="Morning"/>
    <n v="4"/>
    <n v="8"/>
    <s v="Plan B"/>
  </r>
  <r>
    <s v="PAT5714"/>
    <n v="83"/>
    <x v="2"/>
    <x v="5"/>
    <d v="2024-04-26T00:00:00"/>
    <d v="2024-04-05T00:00:00"/>
    <n v="8"/>
    <x v="1"/>
    <n v="5"/>
    <s v="Dr. Rao"/>
    <n v="37140"/>
    <x v="3"/>
    <x v="0"/>
    <x v="0"/>
    <d v="2024-04-21T00:00:00"/>
    <d v="2024-04-22T09:00:00"/>
    <x v="3"/>
    <x v="0"/>
    <s v="Morning"/>
    <n v="4"/>
    <n v="10"/>
    <s v="Plan A"/>
  </r>
  <r>
    <s v="PAT5715"/>
    <n v="17"/>
    <x v="1"/>
    <x v="4"/>
    <d v="2023-10-26T00:00:00"/>
    <d v="2023-09-11T00:00:00"/>
    <n v="14"/>
    <x v="2"/>
    <n v="4"/>
    <s v="Dr. Mehta"/>
    <n v="38024"/>
    <x v="4"/>
    <x v="1"/>
    <x v="0"/>
    <d v="2023-10-21T00:00:00"/>
    <d v="2023-10-21T19:00:00"/>
    <x v="2"/>
    <x v="0"/>
    <s v="Afternoon"/>
    <n v="5"/>
    <n v="10"/>
    <s v="Plan C"/>
  </r>
  <r>
    <s v="PAT5716"/>
    <n v="85"/>
    <x v="2"/>
    <x v="3"/>
    <d v="2023-03-02T00:00:00"/>
    <d v="2023-09-02T00:00:00"/>
    <n v="6"/>
    <x v="4"/>
    <n v="1"/>
    <s v="Dr. Patel"/>
    <n v="37544"/>
    <x v="2"/>
    <x v="1"/>
    <x v="0"/>
    <d v="2023-03-02T00:00:00"/>
    <d v="2023-04-02T17:00:00"/>
    <x v="1"/>
    <x v="0"/>
    <s v="Afternoon"/>
    <n v="5"/>
    <n v="8"/>
    <s v="Plan A"/>
  </r>
  <r>
    <s v="PAT5717"/>
    <n v="78"/>
    <x v="2"/>
    <x v="2"/>
    <d v="2023-08-26T00:00:00"/>
    <d v="2023-04-09T00:00:00"/>
    <n v="9"/>
    <x v="1"/>
    <n v="3"/>
    <s v="Dr. Patel"/>
    <n v="5037"/>
    <x v="4"/>
    <x v="0"/>
    <x v="0"/>
    <d v="2023-08-25T00:00:00"/>
    <d v="2023-08-26T22:00:00"/>
    <x v="3"/>
    <x v="0"/>
    <s v="Night"/>
    <n v="6"/>
    <n v="12"/>
    <s v="Plan C"/>
  </r>
  <r>
    <s v="PAT5718"/>
    <n v="73"/>
    <x v="2"/>
    <x v="1"/>
    <d v="2023-10-23T00:00:00"/>
    <d v="2023-07-11T00:00:00"/>
    <n v="15"/>
    <x v="1"/>
    <n v="1"/>
    <s v="Dr. Patel"/>
    <n v="48032"/>
    <x v="2"/>
    <x v="1"/>
    <x v="1"/>
    <d v="2023-10-18T00:00:00"/>
    <d v="2023-10-19T09:00:00"/>
    <x v="2"/>
    <x v="0"/>
    <s v="Afternoon"/>
    <n v="10"/>
    <n v="10"/>
    <s v="Plan A"/>
  </r>
  <r>
    <s v="PAT5719"/>
    <n v="1"/>
    <x v="1"/>
    <x v="1"/>
    <d v="2023-10-17T00:00:00"/>
    <d v="2023-10-19T00:00:00"/>
    <n v="2"/>
    <x v="1"/>
    <n v="3"/>
    <s v="Dr. Mehta"/>
    <n v="17697"/>
    <x v="4"/>
    <x v="0"/>
    <x v="0"/>
    <d v="2023-10-17T00:00:00"/>
    <d v="2023-10-18T03:00:00"/>
    <x v="4"/>
    <x v="1"/>
    <s v="Morning"/>
    <n v="6"/>
    <n v="12"/>
    <s v="Plan B"/>
  </r>
  <r>
    <s v="PAT5720"/>
    <n v="51"/>
    <x v="0"/>
    <x v="0"/>
    <d v="2024-09-04T00:00:00"/>
    <d v="2024-04-21T00:00:00"/>
    <n v="12"/>
    <x v="0"/>
    <n v="2"/>
    <s v="Dr. Rao"/>
    <n v="46420"/>
    <x v="3"/>
    <x v="1"/>
    <x v="0"/>
    <d v="2024-06-04T00:00:00"/>
    <d v="2024-07-04T04:00:00"/>
    <x v="0"/>
    <x v="0"/>
    <s v="Night"/>
    <n v="6"/>
    <n v="8"/>
    <s v="Plan C"/>
  </r>
  <r>
    <s v="PAT5721"/>
    <n v="45"/>
    <x v="4"/>
    <x v="0"/>
    <d v="2023-03-14T00:00:00"/>
    <d v="2023-03-28T00:00:00"/>
    <n v="14"/>
    <x v="0"/>
    <n v="2"/>
    <s v="Dr. Gupta"/>
    <n v="36707"/>
    <x v="3"/>
    <x v="0"/>
    <x v="0"/>
    <d v="2023-11-03T00:00:00"/>
    <d v="2023-12-03T21:00:00"/>
    <x v="1"/>
    <x v="0"/>
    <s v="Morning"/>
    <n v="4"/>
    <n v="10"/>
    <s v="Plan B"/>
  </r>
  <r>
    <s v="PAT5722"/>
    <n v="77"/>
    <x v="2"/>
    <x v="1"/>
    <d v="2023-08-28T00:00:00"/>
    <d v="2023-06-09T00:00:00"/>
    <n v="9"/>
    <x v="1"/>
    <n v="5"/>
    <s v="Dr. Rao"/>
    <n v="31016"/>
    <x v="4"/>
    <x v="0"/>
    <x v="0"/>
    <d v="2023-08-27T00:00:00"/>
    <d v="2023-08-28T02:00:00"/>
    <x v="0"/>
    <x v="0"/>
    <s v="Night"/>
    <n v="9"/>
    <n v="12"/>
    <s v="Plan B"/>
  </r>
  <r>
    <s v="PAT5723"/>
    <n v="4"/>
    <x v="1"/>
    <x v="1"/>
    <d v="2023-09-28T00:00:00"/>
    <d v="2023-12-10T00:00:00"/>
    <n v="14"/>
    <x v="0"/>
    <n v="2"/>
    <s v="Dr. Sharma"/>
    <n v="39600"/>
    <x v="2"/>
    <x v="0"/>
    <x v="0"/>
    <d v="2023-09-24T00:00:00"/>
    <d v="2023-09-24T06:00:00"/>
    <x v="4"/>
    <x v="0"/>
    <s v="Night"/>
    <n v="9"/>
    <n v="10"/>
    <s v="Plan B"/>
  </r>
  <r>
    <s v="PAT5724"/>
    <n v="62"/>
    <x v="0"/>
    <x v="2"/>
    <d v="2023-07-22T00:00:00"/>
    <d v="2023-07-24T00:00:00"/>
    <n v="2"/>
    <x v="5"/>
    <n v="5"/>
    <s v="Dr. Patel"/>
    <n v="28984"/>
    <x v="0"/>
    <x v="0"/>
    <x v="0"/>
    <d v="2023-07-21T00:00:00"/>
    <d v="2023-07-22T17:00:00"/>
    <x v="3"/>
    <x v="0"/>
    <s v="Morning"/>
    <n v="9"/>
    <n v="8"/>
    <s v="Plan B"/>
  </r>
  <r>
    <s v="PAT5725"/>
    <n v="65"/>
    <x v="0"/>
    <x v="5"/>
    <d v="2024-11-03T00:00:00"/>
    <d v="2024-03-16T00:00:00"/>
    <n v="5"/>
    <x v="1"/>
    <n v="1"/>
    <s v="Dr. Rao"/>
    <n v="10167"/>
    <x v="3"/>
    <x v="0"/>
    <x v="0"/>
    <d v="2024-11-03T00:00:00"/>
    <d v="2024-12-03T11:00:00"/>
    <x v="3"/>
    <x v="0"/>
    <s v="Afternoon"/>
    <n v="9"/>
    <n v="10"/>
    <s v="Plan B"/>
  </r>
  <r>
    <s v="PAT5726"/>
    <n v="32"/>
    <x v="3"/>
    <x v="0"/>
    <d v="2023-04-28T00:00:00"/>
    <d v="2023-04-30T00:00:00"/>
    <n v="2"/>
    <x v="5"/>
    <n v="2"/>
    <s v="Dr. Gupta"/>
    <n v="5432"/>
    <x v="3"/>
    <x v="0"/>
    <x v="1"/>
    <d v="2023-04-27T00:00:00"/>
    <d v="2023-04-28T11:00:00"/>
    <x v="4"/>
    <x v="0"/>
    <s v="Afternoon"/>
    <n v="6"/>
    <n v="8"/>
    <s v="Plan A"/>
  </r>
  <r>
    <s v="PAT5727"/>
    <n v="34"/>
    <x v="3"/>
    <x v="5"/>
    <d v="2023-08-19T00:00:00"/>
    <d v="2023-01-09T00:00:00"/>
    <n v="13"/>
    <x v="5"/>
    <n v="1"/>
    <s v="Dr. Sharma"/>
    <n v="9151"/>
    <x v="0"/>
    <x v="1"/>
    <x v="0"/>
    <d v="2023-08-15T00:00:00"/>
    <d v="2023-08-16T16:00:00"/>
    <x v="4"/>
    <x v="0"/>
    <s v="Afternoon"/>
    <n v="4"/>
    <n v="12"/>
    <s v="Plan C"/>
  </r>
  <r>
    <s v="PAT5728"/>
    <n v="72"/>
    <x v="2"/>
    <x v="2"/>
    <d v="2023-02-06T00:00:00"/>
    <d v="2023-05-06T00:00:00"/>
    <n v="3"/>
    <x v="1"/>
    <n v="1"/>
    <s v="Dr. Mehta"/>
    <n v="11411"/>
    <x v="4"/>
    <x v="1"/>
    <x v="1"/>
    <d v="2023-05-31T00:00:00"/>
    <d v="2023-05-31T10:00:00"/>
    <x v="1"/>
    <x v="0"/>
    <s v="Afternoon"/>
    <n v="9"/>
    <n v="10"/>
    <s v="Plan A"/>
  </r>
  <r>
    <s v="PAT5729"/>
    <n v="39"/>
    <x v="4"/>
    <x v="1"/>
    <d v="2023-09-30T00:00:00"/>
    <d v="2023-05-10T00:00:00"/>
    <n v="5"/>
    <x v="2"/>
    <n v="2"/>
    <s v="Dr. Mehta"/>
    <n v="35788"/>
    <x v="2"/>
    <x v="0"/>
    <x v="1"/>
    <d v="2023-09-29T00:00:00"/>
    <d v="2023-09-29T18:00:00"/>
    <x v="2"/>
    <x v="1"/>
    <s v="Morning"/>
    <n v="11"/>
    <n v="12"/>
    <s v="Plan A"/>
  </r>
  <r>
    <s v="PAT5730"/>
    <n v="26"/>
    <x v="3"/>
    <x v="3"/>
    <d v="2023-05-26T00:00:00"/>
    <d v="2023-03-06T00:00:00"/>
    <n v="8"/>
    <x v="1"/>
    <n v="1"/>
    <s v="Dr. Gupta"/>
    <n v="31623"/>
    <x v="4"/>
    <x v="0"/>
    <x v="0"/>
    <d v="2023-05-21T00:00:00"/>
    <d v="2023-05-21T06:00:00"/>
    <x v="0"/>
    <x v="0"/>
    <s v="Night"/>
    <n v="8"/>
    <n v="8"/>
    <s v="Plan A"/>
  </r>
  <r>
    <s v="PAT5731"/>
    <n v="34"/>
    <x v="3"/>
    <x v="5"/>
    <d v="2023-03-15T00:00:00"/>
    <d v="2023-03-30T00:00:00"/>
    <n v="15"/>
    <x v="1"/>
    <n v="2"/>
    <s v="Dr. Sharma"/>
    <n v="27104"/>
    <x v="1"/>
    <x v="0"/>
    <x v="0"/>
    <d v="2023-11-03T00:00:00"/>
    <d v="2023-11-03T20:00:00"/>
    <x v="0"/>
    <x v="0"/>
    <s v="Morning"/>
    <n v="7"/>
    <n v="8"/>
    <s v="Plan B"/>
  </r>
  <r>
    <s v="PAT5732"/>
    <n v="54"/>
    <x v="0"/>
    <x v="1"/>
    <d v="2023-03-03T00:00:00"/>
    <d v="2023-12-03T00:00:00"/>
    <n v="9"/>
    <x v="0"/>
    <n v="2"/>
    <s v="Dr. Patel"/>
    <n v="5256"/>
    <x v="3"/>
    <x v="0"/>
    <x v="0"/>
    <d v="2023-01-03T00:00:00"/>
    <d v="2023-01-03T06:00:00"/>
    <x v="3"/>
    <x v="0"/>
    <s v="Afternoon"/>
    <n v="8"/>
    <n v="12"/>
    <s v="Plan A"/>
  </r>
  <r>
    <s v="PAT5733"/>
    <n v="3"/>
    <x v="1"/>
    <x v="1"/>
    <d v="2023-06-19T00:00:00"/>
    <d v="2023-06-22T00:00:00"/>
    <n v="3"/>
    <x v="1"/>
    <n v="2"/>
    <s v="Dr. Rao"/>
    <n v="38439"/>
    <x v="1"/>
    <x v="0"/>
    <x v="1"/>
    <d v="2023-06-15T00:00:00"/>
    <d v="2023-06-16T09:00:00"/>
    <x v="3"/>
    <x v="1"/>
    <s v="Afternoon"/>
    <n v="4"/>
    <n v="12"/>
    <s v="Plan C"/>
  </r>
  <r>
    <s v="PAT5734"/>
    <n v="50"/>
    <x v="4"/>
    <x v="4"/>
    <d v="2023-11-11T00:00:00"/>
    <d v="2023-11-25T00:00:00"/>
    <n v="14"/>
    <x v="2"/>
    <n v="3"/>
    <s v="Dr. Sharma"/>
    <n v="38257"/>
    <x v="3"/>
    <x v="1"/>
    <x v="0"/>
    <d v="2023-07-11T00:00:00"/>
    <d v="2023-07-11T14:00:00"/>
    <x v="1"/>
    <x v="0"/>
    <s v="Morning"/>
    <n v="4"/>
    <n v="8"/>
    <s v="Plan A"/>
  </r>
  <r>
    <s v="PAT5735"/>
    <n v="12"/>
    <x v="1"/>
    <x v="5"/>
    <d v="2023-10-23T00:00:00"/>
    <d v="2023-10-30T00:00:00"/>
    <n v="7"/>
    <x v="0"/>
    <n v="1"/>
    <s v="Dr. Mehta"/>
    <n v="44657"/>
    <x v="3"/>
    <x v="1"/>
    <x v="0"/>
    <d v="2023-10-18T00:00:00"/>
    <d v="2023-10-18T10:00:00"/>
    <x v="4"/>
    <x v="0"/>
    <s v="Night"/>
    <n v="7"/>
    <n v="12"/>
    <s v="Plan B"/>
  </r>
  <r>
    <s v="PAT5736"/>
    <n v="65"/>
    <x v="0"/>
    <x v="3"/>
    <d v="2024-03-25T00:00:00"/>
    <d v="2024-03-27T00:00:00"/>
    <n v="2"/>
    <x v="3"/>
    <n v="4"/>
    <s v="Dr. Gupta"/>
    <n v="49674"/>
    <x v="1"/>
    <x v="1"/>
    <x v="0"/>
    <d v="2024-03-23T00:00:00"/>
    <d v="2024-03-24T11:00:00"/>
    <x v="0"/>
    <x v="0"/>
    <s v="Morning"/>
    <n v="5"/>
    <n v="8"/>
    <s v="Plan C"/>
  </r>
  <r>
    <s v="PAT5737"/>
    <n v="54"/>
    <x v="0"/>
    <x v="5"/>
    <d v="2023-08-05T00:00:00"/>
    <d v="2023-05-23T00:00:00"/>
    <n v="15"/>
    <x v="3"/>
    <n v="2"/>
    <s v="Dr. Gupta"/>
    <n v="23066"/>
    <x v="1"/>
    <x v="1"/>
    <x v="0"/>
    <d v="2023-07-05T00:00:00"/>
    <d v="2023-07-05T21:00:00"/>
    <x v="1"/>
    <x v="0"/>
    <s v="Morning"/>
    <n v="5"/>
    <n v="12"/>
    <s v="Plan C"/>
  </r>
  <r>
    <s v="PAT5738"/>
    <n v="5"/>
    <x v="1"/>
    <x v="1"/>
    <d v="2024-04-24T00:00:00"/>
    <d v="2024-04-28T00:00:00"/>
    <n v="4"/>
    <x v="5"/>
    <n v="1"/>
    <s v="Dr. Rao"/>
    <n v="37746"/>
    <x v="4"/>
    <x v="1"/>
    <x v="0"/>
    <d v="2024-04-22T00:00:00"/>
    <d v="2024-04-23T02:00:00"/>
    <x v="3"/>
    <x v="1"/>
    <s v="Morning"/>
    <n v="11"/>
    <n v="8"/>
    <s v="Plan C"/>
  </r>
  <r>
    <s v="PAT5739"/>
    <n v="57"/>
    <x v="0"/>
    <x v="3"/>
    <d v="2023-08-11T00:00:00"/>
    <d v="2023-11-22T00:00:00"/>
    <n v="14"/>
    <x v="5"/>
    <n v="5"/>
    <s v="Dr. Gupta"/>
    <n v="7460"/>
    <x v="1"/>
    <x v="0"/>
    <x v="0"/>
    <d v="2023-07-11T00:00:00"/>
    <d v="2023-08-11T14:00:00"/>
    <x v="3"/>
    <x v="0"/>
    <s v="Night"/>
    <n v="5"/>
    <n v="8"/>
    <s v="Plan C"/>
  </r>
  <r>
    <s v="PAT5740"/>
    <n v="17"/>
    <x v="1"/>
    <x v="2"/>
    <d v="2024-02-17T00:00:00"/>
    <d v="2024-02-25T00:00:00"/>
    <n v="8"/>
    <x v="2"/>
    <n v="2"/>
    <s v="Dr. Gupta"/>
    <n v="42297"/>
    <x v="4"/>
    <x v="0"/>
    <x v="0"/>
    <d v="2024-12-02T00:00:00"/>
    <d v="2024-02-13T17:00:00"/>
    <x v="0"/>
    <x v="0"/>
    <s v="Morning"/>
    <n v="6"/>
    <n v="10"/>
    <s v="Plan A"/>
  </r>
  <r>
    <s v="PAT5741"/>
    <n v="47"/>
    <x v="4"/>
    <x v="4"/>
    <d v="2023-06-10T00:00:00"/>
    <d v="2023-10-21T00:00:00"/>
    <n v="15"/>
    <x v="4"/>
    <n v="2"/>
    <s v="Dr. Sharma"/>
    <n v="39743"/>
    <x v="4"/>
    <x v="1"/>
    <x v="1"/>
    <d v="2023-02-10T00:00:00"/>
    <d v="2023-03-10T18:00:00"/>
    <x v="3"/>
    <x v="0"/>
    <s v="Morning"/>
    <n v="5"/>
    <n v="8"/>
    <s v="Plan B"/>
  </r>
  <r>
    <s v="PAT5742"/>
    <n v="23"/>
    <x v="3"/>
    <x v="1"/>
    <d v="2024-05-27T00:00:00"/>
    <d v="2024-02-06T00:00:00"/>
    <n v="6"/>
    <x v="3"/>
    <n v="4"/>
    <s v="Dr. Patel"/>
    <n v="8216"/>
    <x v="4"/>
    <x v="1"/>
    <x v="0"/>
    <d v="2024-05-26T00:00:00"/>
    <d v="2024-05-27T20:00:00"/>
    <x v="3"/>
    <x v="0"/>
    <s v="Afternoon"/>
    <n v="10"/>
    <n v="8"/>
    <s v="Plan C"/>
  </r>
  <r>
    <s v="PAT5743"/>
    <n v="79"/>
    <x v="2"/>
    <x v="0"/>
    <d v="2024-05-20T00:00:00"/>
    <d v="2024-04-06T00:00:00"/>
    <n v="15"/>
    <x v="5"/>
    <n v="3"/>
    <s v="Dr. Rao"/>
    <n v="19267"/>
    <x v="3"/>
    <x v="1"/>
    <x v="0"/>
    <d v="2024-05-17T00:00:00"/>
    <d v="2024-05-18T18:00:00"/>
    <x v="2"/>
    <x v="0"/>
    <s v="Morning"/>
    <n v="6"/>
    <n v="10"/>
    <s v="Plan C"/>
  </r>
  <r>
    <s v="PAT5744"/>
    <n v="85"/>
    <x v="2"/>
    <x v="0"/>
    <d v="2024-03-24T00:00:00"/>
    <d v="2024-03-25T00:00:00"/>
    <n v="1"/>
    <x v="3"/>
    <n v="3"/>
    <s v="Dr. Sharma"/>
    <n v="14581"/>
    <x v="3"/>
    <x v="1"/>
    <x v="0"/>
    <d v="2024-03-22T00:00:00"/>
    <d v="2024-03-22T05:00:00"/>
    <x v="4"/>
    <x v="0"/>
    <s v="Afternoon"/>
    <n v="6"/>
    <n v="10"/>
    <s v="Plan B"/>
  </r>
  <r>
    <s v="PAT5745"/>
    <n v="14"/>
    <x v="1"/>
    <x v="4"/>
    <d v="2023-03-24T00:00:00"/>
    <d v="2023-03-31T00:00:00"/>
    <n v="7"/>
    <x v="2"/>
    <n v="2"/>
    <s v="Dr. Patel"/>
    <n v="9515"/>
    <x v="1"/>
    <x v="1"/>
    <x v="1"/>
    <d v="2023-03-22T00:00:00"/>
    <d v="2023-03-22T20:00:00"/>
    <x v="3"/>
    <x v="0"/>
    <s v="Afternoon"/>
    <n v="11"/>
    <n v="12"/>
    <s v="Plan A"/>
  </r>
  <r>
    <s v="PAT5746"/>
    <n v="66"/>
    <x v="2"/>
    <x v="2"/>
    <d v="2023-10-02T00:00:00"/>
    <d v="2023-11-02T00:00:00"/>
    <n v="1"/>
    <x v="2"/>
    <n v="1"/>
    <s v="Dr. Sharma"/>
    <n v="27076"/>
    <x v="3"/>
    <x v="1"/>
    <x v="0"/>
    <d v="2023-10-02T00:00:00"/>
    <d v="2023-11-02T21:00:00"/>
    <x v="2"/>
    <x v="0"/>
    <s v="Afternoon"/>
    <n v="5"/>
    <n v="12"/>
    <s v="Plan C"/>
  </r>
  <r>
    <s v="PAT5747"/>
    <n v="75"/>
    <x v="2"/>
    <x v="1"/>
    <d v="2024-03-18T00:00:00"/>
    <d v="2024-03-25T00:00:00"/>
    <n v="7"/>
    <x v="4"/>
    <n v="5"/>
    <s v="Dr. Sharma"/>
    <n v="49816"/>
    <x v="1"/>
    <x v="1"/>
    <x v="0"/>
    <d v="2024-03-14T00:00:00"/>
    <d v="2024-03-15T04:00:00"/>
    <x v="1"/>
    <x v="1"/>
    <s v="Night"/>
    <n v="5"/>
    <n v="8"/>
    <s v="Plan A"/>
  </r>
  <r>
    <s v="PAT5748"/>
    <n v="51"/>
    <x v="0"/>
    <x v="5"/>
    <d v="2023-11-27T00:00:00"/>
    <d v="2023-06-12T00:00:00"/>
    <n v="9"/>
    <x v="4"/>
    <n v="5"/>
    <s v="Dr. Gupta"/>
    <n v="14776"/>
    <x v="3"/>
    <x v="1"/>
    <x v="0"/>
    <d v="2023-11-23T00:00:00"/>
    <d v="2023-11-24T23:00:00"/>
    <x v="3"/>
    <x v="0"/>
    <s v="Afternoon"/>
    <n v="11"/>
    <n v="12"/>
    <s v="Plan A"/>
  </r>
  <r>
    <s v="PAT5749"/>
    <n v="38"/>
    <x v="4"/>
    <x v="4"/>
    <d v="2023-09-14T00:00:00"/>
    <d v="2023-09-20T00:00:00"/>
    <n v="6"/>
    <x v="0"/>
    <n v="1"/>
    <s v="Dr. Patel"/>
    <n v="26947"/>
    <x v="2"/>
    <x v="0"/>
    <x v="1"/>
    <d v="2023-09-09T00:00:00"/>
    <d v="2023-09-09T16:00:00"/>
    <x v="1"/>
    <x v="0"/>
    <s v="Morning"/>
    <n v="7"/>
    <n v="12"/>
    <s v="Plan A"/>
  </r>
  <r>
    <s v="PAT5750"/>
    <n v="64"/>
    <x v="0"/>
    <x v="2"/>
    <d v="2023-01-27T00:00:00"/>
    <d v="2023-01-31T00:00:00"/>
    <n v="4"/>
    <x v="2"/>
    <n v="2"/>
    <s v="Dr. Rao"/>
    <n v="7963"/>
    <x v="2"/>
    <x v="1"/>
    <x v="0"/>
    <d v="2023-01-26T00:00:00"/>
    <d v="2023-01-26T04:00:00"/>
    <x v="3"/>
    <x v="0"/>
    <s v="Morning"/>
    <n v="9"/>
    <n v="8"/>
    <s v="Plan A"/>
  </r>
  <r>
    <s v="PAT5751"/>
    <n v="38"/>
    <x v="4"/>
    <x v="5"/>
    <d v="2023-04-04T00:00:00"/>
    <d v="2023-11-04T00:00:00"/>
    <n v="7"/>
    <x v="5"/>
    <n v="5"/>
    <s v="Dr. Rao"/>
    <n v="11786"/>
    <x v="1"/>
    <x v="1"/>
    <x v="0"/>
    <d v="2023-03-30T00:00:00"/>
    <d v="2023-03-30T16:00:00"/>
    <x v="0"/>
    <x v="0"/>
    <s v="Afternoon"/>
    <n v="11"/>
    <n v="10"/>
    <s v="Plan C"/>
  </r>
  <r>
    <s v="PAT5752"/>
    <n v="50"/>
    <x v="4"/>
    <x v="0"/>
    <d v="2023-08-23T00:00:00"/>
    <d v="2023-08-25T00:00:00"/>
    <n v="2"/>
    <x v="3"/>
    <n v="3"/>
    <s v="Dr. Patel"/>
    <n v="18866"/>
    <x v="3"/>
    <x v="1"/>
    <x v="0"/>
    <d v="2023-08-18T00:00:00"/>
    <d v="2023-08-18T06:00:00"/>
    <x v="2"/>
    <x v="0"/>
    <s v="Afternoon"/>
    <n v="7"/>
    <n v="10"/>
    <s v="Plan C"/>
  </r>
  <r>
    <s v="PAT5753"/>
    <n v="82"/>
    <x v="2"/>
    <x v="0"/>
    <d v="2023-01-22T00:00:00"/>
    <d v="2023-01-28T00:00:00"/>
    <n v="6"/>
    <x v="1"/>
    <n v="1"/>
    <s v="Dr. Gupta"/>
    <n v="43968"/>
    <x v="3"/>
    <x v="1"/>
    <x v="1"/>
    <d v="2023-01-19T00:00:00"/>
    <d v="2023-01-20T04:00:00"/>
    <x v="2"/>
    <x v="0"/>
    <s v="Morning"/>
    <n v="6"/>
    <n v="8"/>
    <s v="Plan A"/>
  </r>
  <r>
    <s v="PAT5754"/>
    <n v="30"/>
    <x v="3"/>
    <x v="5"/>
    <d v="2023-03-10T00:00:00"/>
    <d v="2023-07-10T00:00:00"/>
    <n v="4"/>
    <x v="4"/>
    <n v="4"/>
    <s v="Dr. Mehta"/>
    <n v="37305"/>
    <x v="4"/>
    <x v="0"/>
    <x v="0"/>
    <d v="2023-09-29T00:00:00"/>
    <d v="2023-09-29T08:00:00"/>
    <x v="0"/>
    <x v="0"/>
    <s v="Afternoon"/>
    <n v="7"/>
    <n v="8"/>
    <s v="Plan A"/>
  </r>
  <r>
    <s v="PAT5755"/>
    <n v="79"/>
    <x v="2"/>
    <x v="4"/>
    <d v="2023-11-02T00:00:00"/>
    <d v="2023-12-02T00:00:00"/>
    <n v="1"/>
    <x v="1"/>
    <n v="2"/>
    <s v="Dr. Sharma"/>
    <n v="22360"/>
    <x v="0"/>
    <x v="0"/>
    <x v="0"/>
    <d v="2023-08-02T00:00:00"/>
    <d v="2023-09-02T06:00:00"/>
    <x v="4"/>
    <x v="0"/>
    <s v="Night"/>
    <n v="6"/>
    <n v="8"/>
    <s v="Plan B"/>
  </r>
  <r>
    <s v="PAT5756"/>
    <n v="51"/>
    <x v="0"/>
    <x v="0"/>
    <d v="2023-06-29T00:00:00"/>
    <d v="2023-05-07T00:00:00"/>
    <n v="6"/>
    <x v="5"/>
    <n v="1"/>
    <s v="Dr. Gupta"/>
    <n v="45113"/>
    <x v="1"/>
    <x v="1"/>
    <x v="1"/>
    <d v="2023-06-29T00:00:00"/>
    <d v="2023-06-30T16:00:00"/>
    <x v="2"/>
    <x v="1"/>
    <s v="Afternoon"/>
    <n v="4"/>
    <n v="8"/>
    <s v="Plan B"/>
  </r>
  <r>
    <s v="PAT5757"/>
    <n v="63"/>
    <x v="0"/>
    <x v="1"/>
    <d v="2024-04-26T00:00:00"/>
    <d v="2024-11-05T00:00:00"/>
    <n v="15"/>
    <x v="4"/>
    <n v="5"/>
    <s v="Dr. Patel"/>
    <n v="37813"/>
    <x v="0"/>
    <x v="0"/>
    <x v="1"/>
    <d v="2024-04-24T00:00:00"/>
    <d v="2024-04-25T15:00:00"/>
    <x v="1"/>
    <x v="0"/>
    <s v="Night"/>
    <n v="6"/>
    <n v="8"/>
    <s v="Plan B"/>
  </r>
  <r>
    <s v="PAT5758"/>
    <n v="52"/>
    <x v="0"/>
    <x v="3"/>
    <d v="2024-06-15T00:00:00"/>
    <d v="2024-06-17T00:00:00"/>
    <n v="2"/>
    <x v="1"/>
    <n v="2"/>
    <s v="Dr. Sharma"/>
    <n v="6193"/>
    <x v="0"/>
    <x v="1"/>
    <x v="0"/>
    <d v="2024-10-06T00:00:00"/>
    <d v="2024-10-06T04:00:00"/>
    <x v="2"/>
    <x v="0"/>
    <s v="Night"/>
    <n v="6"/>
    <n v="8"/>
    <s v="Plan C"/>
  </r>
  <r>
    <s v="PAT5759"/>
    <n v="38"/>
    <x v="4"/>
    <x v="5"/>
    <d v="2024-03-28T00:00:00"/>
    <d v="2024-11-04T00:00:00"/>
    <n v="14"/>
    <x v="5"/>
    <n v="3"/>
    <s v="Dr. Rao"/>
    <n v="9512"/>
    <x v="1"/>
    <x v="0"/>
    <x v="1"/>
    <d v="2024-03-23T00:00:00"/>
    <d v="2024-03-23T20:00:00"/>
    <x v="4"/>
    <x v="1"/>
    <s v="Night"/>
    <n v="7"/>
    <n v="12"/>
    <s v="Plan B"/>
  </r>
  <r>
    <s v="PAT5760"/>
    <n v="88"/>
    <x v="2"/>
    <x v="5"/>
    <d v="2023-12-10T00:00:00"/>
    <d v="2023-10-24T00:00:00"/>
    <n v="12"/>
    <x v="3"/>
    <n v="2"/>
    <s v="Dr. Mehta"/>
    <n v="27666"/>
    <x v="3"/>
    <x v="1"/>
    <x v="1"/>
    <d v="2023-09-10T00:00:00"/>
    <d v="2023-10-10T19:00:00"/>
    <x v="1"/>
    <x v="0"/>
    <s v="Afternoon"/>
    <n v="9"/>
    <n v="12"/>
    <s v="Plan C"/>
  </r>
  <r>
    <s v="PAT5761"/>
    <n v="79"/>
    <x v="2"/>
    <x v="0"/>
    <d v="2023-05-07T00:00:00"/>
    <d v="2023-07-16T00:00:00"/>
    <n v="11"/>
    <x v="5"/>
    <n v="2"/>
    <s v="Dr. Rao"/>
    <n v="21630"/>
    <x v="1"/>
    <x v="1"/>
    <x v="0"/>
    <d v="2023-01-07T00:00:00"/>
    <d v="2023-03-07T00:00:00"/>
    <x v="1"/>
    <x v="0"/>
    <s v="Night"/>
    <n v="4"/>
    <n v="12"/>
    <s v="Plan C"/>
  </r>
  <r>
    <s v="PAT5762"/>
    <n v="30"/>
    <x v="3"/>
    <x v="4"/>
    <d v="2024-03-22T00:00:00"/>
    <d v="2024-03-28T00:00:00"/>
    <n v="6"/>
    <x v="0"/>
    <n v="3"/>
    <s v="Dr. Patel"/>
    <n v="13983"/>
    <x v="0"/>
    <x v="0"/>
    <x v="0"/>
    <d v="2024-03-20T00:00:00"/>
    <d v="2024-03-21T19:00:00"/>
    <x v="0"/>
    <x v="0"/>
    <s v="Night"/>
    <n v="8"/>
    <n v="10"/>
    <s v="Plan C"/>
  </r>
  <r>
    <s v="PAT5763"/>
    <n v="51"/>
    <x v="0"/>
    <x v="1"/>
    <d v="2024-05-18T00:00:00"/>
    <d v="2024-05-31T00:00:00"/>
    <n v="13"/>
    <x v="4"/>
    <n v="3"/>
    <s v="Dr. Sharma"/>
    <n v="5636"/>
    <x v="3"/>
    <x v="0"/>
    <x v="1"/>
    <d v="2024-05-13T00:00:00"/>
    <d v="2024-05-15T00:00:00"/>
    <x v="3"/>
    <x v="0"/>
    <s v="Afternoon"/>
    <n v="8"/>
    <n v="8"/>
    <s v="Plan C"/>
  </r>
  <r>
    <s v="PAT5764"/>
    <n v="81"/>
    <x v="2"/>
    <x v="4"/>
    <d v="2023-04-04T00:00:00"/>
    <d v="2023-07-04T00:00:00"/>
    <n v="3"/>
    <x v="2"/>
    <n v="2"/>
    <s v="Dr. Patel"/>
    <n v="8775"/>
    <x v="2"/>
    <x v="0"/>
    <x v="0"/>
    <d v="2023-01-04T00:00:00"/>
    <d v="2023-01-04T12:00:00"/>
    <x v="0"/>
    <x v="0"/>
    <s v="Night"/>
    <n v="9"/>
    <n v="8"/>
    <s v="Plan B"/>
  </r>
  <r>
    <s v="PAT5765"/>
    <n v="5"/>
    <x v="1"/>
    <x v="2"/>
    <d v="2024-04-26T00:00:00"/>
    <d v="2024-04-29T00:00:00"/>
    <n v="3"/>
    <x v="3"/>
    <n v="3"/>
    <s v="Dr. Sharma"/>
    <n v="7421"/>
    <x v="1"/>
    <x v="1"/>
    <x v="1"/>
    <d v="2024-04-23T00:00:00"/>
    <d v="2024-04-23T08:00:00"/>
    <x v="3"/>
    <x v="0"/>
    <s v="Afternoon"/>
    <n v="8"/>
    <n v="12"/>
    <s v="Plan A"/>
  </r>
  <r>
    <s v="PAT5766"/>
    <n v="29"/>
    <x v="3"/>
    <x v="2"/>
    <d v="2023-12-23T00:00:00"/>
    <d v="2023-12-24T00:00:00"/>
    <n v="1"/>
    <x v="1"/>
    <n v="1"/>
    <s v="Dr. Gupta"/>
    <n v="18025"/>
    <x v="1"/>
    <x v="1"/>
    <x v="1"/>
    <d v="2023-12-22T00:00:00"/>
    <d v="2023-12-22T01:00:00"/>
    <x v="0"/>
    <x v="0"/>
    <s v="Morning"/>
    <n v="4"/>
    <n v="10"/>
    <s v="Plan A"/>
  </r>
  <r>
    <s v="PAT5767"/>
    <n v="4"/>
    <x v="1"/>
    <x v="3"/>
    <d v="2024-02-23T00:00:00"/>
    <d v="2024-02-28T00:00:00"/>
    <n v="5"/>
    <x v="4"/>
    <n v="3"/>
    <s v="Dr. Mehta"/>
    <n v="14280"/>
    <x v="3"/>
    <x v="0"/>
    <x v="1"/>
    <d v="2024-02-21T00:00:00"/>
    <d v="2024-02-22T22:00:00"/>
    <x v="3"/>
    <x v="0"/>
    <s v="Night"/>
    <n v="5"/>
    <n v="12"/>
    <s v="Plan A"/>
  </r>
  <r>
    <s v="PAT5768"/>
    <n v="10"/>
    <x v="1"/>
    <x v="0"/>
    <d v="2023-08-12T00:00:00"/>
    <d v="2023-12-23T00:00:00"/>
    <n v="15"/>
    <x v="2"/>
    <n v="3"/>
    <s v="Dr. Gupta"/>
    <n v="41951"/>
    <x v="2"/>
    <x v="1"/>
    <x v="0"/>
    <d v="2023-05-12T00:00:00"/>
    <d v="2023-05-12T09:00:00"/>
    <x v="2"/>
    <x v="0"/>
    <s v="Afternoon"/>
    <n v="4"/>
    <n v="8"/>
    <s v="Plan B"/>
  </r>
  <r>
    <s v="PAT5769"/>
    <n v="56"/>
    <x v="0"/>
    <x v="0"/>
    <d v="2023-11-25T00:00:00"/>
    <d v="2023-09-12T00:00:00"/>
    <n v="14"/>
    <x v="5"/>
    <n v="2"/>
    <s v="Dr. Gupta"/>
    <n v="16351"/>
    <x v="2"/>
    <x v="1"/>
    <x v="1"/>
    <d v="2023-11-24T00:00:00"/>
    <d v="2023-11-25T21:00:00"/>
    <x v="1"/>
    <x v="0"/>
    <s v="Morning"/>
    <n v="7"/>
    <n v="8"/>
    <s v="Plan A"/>
  </r>
  <r>
    <s v="PAT5770"/>
    <n v="17"/>
    <x v="1"/>
    <x v="0"/>
    <d v="2023-04-18T00:00:00"/>
    <d v="2023-04-26T00:00:00"/>
    <n v="8"/>
    <x v="2"/>
    <n v="1"/>
    <s v="Dr. Patel"/>
    <n v="43091"/>
    <x v="3"/>
    <x v="1"/>
    <x v="1"/>
    <d v="2023-04-14T00:00:00"/>
    <d v="2023-04-14T01:00:00"/>
    <x v="3"/>
    <x v="0"/>
    <s v="Night"/>
    <n v="11"/>
    <n v="12"/>
    <s v="Plan B"/>
  </r>
  <r>
    <s v="PAT5771"/>
    <n v="74"/>
    <x v="2"/>
    <x v="3"/>
    <d v="2023-06-14T00:00:00"/>
    <d v="2023-06-26T00:00:00"/>
    <n v="12"/>
    <x v="4"/>
    <n v="4"/>
    <s v="Dr. Mehta"/>
    <n v="35171"/>
    <x v="4"/>
    <x v="1"/>
    <x v="0"/>
    <d v="2023-11-06T00:00:00"/>
    <d v="2023-11-06T11:00:00"/>
    <x v="2"/>
    <x v="0"/>
    <s v="Night"/>
    <n v="10"/>
    <n v="12"/>
    <s v="Plan B"/>
  </r>
  <r>
    <s v="PAT5772"/>
    <n v="17"/>
    <x v="1"/>
    <x v="2"/>
    <d v="2023-04-12T00:00:00"/>
    <d v="2023-12-18T00:00:00"/>
    <n v="14"/>
    <x v="4"/>
    <n v="4"/>
    <s v="Dr. Sharma"/>
    <n v="8644"/>
    <x v="1"/>
    <x v="1"/>
    <x v="0"/>
    <d v="2023-03-12T00:00:00"/>
    <d v="2023-04-12T08:00:00"/>
    <x v="4"/>
    <x v="0"/>
    <s v="Afternoon"/>
    <n v="6"/>
    <n v="8"/>
    <s v="Plan B"/>
  </r>
  <r>
    <s v="PAT5773"/>
    <n v="84"/>
    <x v="2"/>
    <x v="4"/>
    <d v="2024-02-26T00:00:00"/>
    <d v="2024-02-29T00:00:00"/>
    <n v="3"/>
    <x v="0"/>
    <n v="5"/>
    <s v="Dr. Sharma"/>
    <n v="21142"/>
    <x v="1"/>
    <x v="1"/>
    <x v="1"/>
    <d v="2024-02-25T00:00:00"/>
    <d v="2024-02-25T23:00:00"/>
    <x v="0"/>
    <x v="0"/>
    <s v="Morning"/>
    <n v="6"/>
    <n v="12"/>
    <s v="Plan A"/>
  </r>
  <r>
    <s v="PAT5774"/>
    <n v="88"/>
    <x v="2"/>
    <x v="3"/>
    <d v="2024-05-22T00:00:00"/>
    <d v="2024-04-06T00:00:00"/>
    <n v="13"/>
    <x v="0"/>
    <n v="3"/>
    <s v="Dr. Rao"/>
    <n v="12773"/>
    <x v="0"/>
    <x v="1"/>
    <x v="0"/>
    <d v="2024-05-20T00:00:00"/>
    <d v="2024-05-21T10:00:00"/>
    <x v="4"/>
    <x v="0"/>
    <s v="Afternoon"/>
    <n v="11"/>
    <n v="8"/>
    <s v="Plan A"/>
  </r>
  <r>
    <s v="PAT5775"/>
    <n v="69"/>
    <x v="2"/>
    <x v="3"/>
    <d v="2023-10-23T00:00:00"/>
    <d v="2023-04-11T00:00:00"/>
    <n v="12"/>
    <x v="2"/>
    <n v="3"/>
    <s v="Dr. Sharma"/>
    <n v="33466"/>
    <x v="3"/>
    <x v="0"/>
    <x v="1"/>
    <d v="2023-10-18T00:00:00"/>
    <d v="2023-10-19T10:00:00"/>
    <x v="2"/>
    <x v="0"/>
    <s v="Night"/>
    <n v="7"/>
    <n v="12"/>
    <s v="Plan A"/>
  </r>
  <r>
    <s v="PAT5776"/>
    <n v="34"/>
    <x v="3"/>
    <x v="4"/>
    <d v="2024-02-15T00:00:00"/>
    <d v="2024-02-23T00:00:00"/>
    <n v="8"/>
    <x v="5"/>
    <n v="1"/>
    <s v="Dr. Patel"/>
    <n v="15778"/>
    <x v="0"/>
    <x v="1"/>
    <x v="0"/>
    <d v="2024-02-14T00:00:00"/>
    <d v="2024-02-15T23:00:00"/>
    <x v="4"/>
    <x v="0"/>
    <s v="Night"/>
    <n v="7"/>
    <n v="10"/>
    <s v="Plan C"/>
  </r>
  <r>
    <s v="PAT5777"/>
    <n v="6"/>
    <x v="1"/>
    <x v="0"/>
    <d v="2023-07-02T00:00:00"/>
    <d v="2023-02-15T00:00:00"/>
    <n v="8"/>
    <x v="2"/>
    <n v="4"/>
    <s v="Dr. Gupta"/>
    <n v="17501"/>
    <x v="0"/>
    <x v="1"/>
    <x v="0"/>
    <d v="2023-04-02T00:00:00"/>
    <d v="2023-04-02T17:00:00"/>
    <x v="4"/>
    <x v="1"/>
    <s v="Night"/>
    <n v="10"/>
    <n v="8"/>
    <s v="Plan B"/>
  </r>
  <r>
    <s v="PAT5778"/>
    <n v="53"/>
    <x v="0"/>
    <x v="1"/>
    <d v="2024-10-04T00:00:00"/>
    <d v="2024-04-20T00:00:00"/>
    <n v="10"/>
    <x v="4"/>
    <n v="5"/>
    <s v="Dr. Gupta"/>
    <n v="7108"/>
    <x v="2"/>
    <x v="1"/>
    <x v="0"/>
    <d v="2024-10-04T00:00:00"/>
    <d v="2024-10-04T11:00:00"/>
    <x v="2"/>
    <x v="0"/>
    <s v="Night"/>
    <n v="10"/>
    <n v="10"/>
    <s v="Plan C"/>
  </r>
  <r>
    <s v="PAT5779"/>
    <n v="66"/>
    <x v="2"/>
    <x v="4"/>
    <d v="2023-01-04T00:00:00"/>
    <d v="2023-02-04T00:00:00"/>
    <n v="1"/>
    <x v="4"/>
    <n v="1"/>
    <s v="Dr. Gupta"/>
    <n v="34369"/>
    <x v="1"/>
    <x v="1"/>
    <x v="0"/>
    <d v="2023-03-28T00:00:00"/>
    <d v="2023-03-29T00:00:00"/>
    <x v="1"/>
    <x v="0"/>
    <s v="Morning"/>
    <n v="6"/>
    <n v="12"/>
    <s v="Plan B"/>
  </r>
  <r>
    <s v="PAT5780"/>
    <n v="77"/>
    <x v="2"/>
    <x v="2"/>
    <d v="2023-11-19T00:00:00"/>
    <d v="2023-04-12T00:00:00"/>
    <n v="15"/>
    <x v="1"/>
    <n v="3"/>
    <s v="Dr. Mehta"/>
    <n v="41382"/>
    <x v="0"/>
    <x v="1"/>
    <x v="0"/>
    <d v="2023-11-16T00:00:00"/>
    <d v="2023-11-16T09:00:00"/>
    <x v="3"/>
    <x v="0"/>
    <s v="Morning"/>
    <n v="10"/>
    <n v="10"/>
    <s v="Plan A"/>
  </r>
  <r>
    <s v="PAT5781"/>
    <n v="43"/>
    <x v="4"/>
    <x v="5"/>
    <d v="2023-09-16T00:00:00"/>
    <d v="2023-09-18T00:00:00"/>
    <n v="2"/>
    <x v="0"/>
    <n v="4"/>
    <s v="Dr. Sharma"/>
    <n v="30818"/>
    <x v="2"/>
    <x v="0"/>
    <x v="1"/>
    <d v="2023-09-13T00:00:00"/>
    <d v="2023-09-15T00:00:00"/>
    <x v="0"/>
    <x v="1"/>
    <s v="Afternoon"/>
    <n v="10"/>
    <n v="12"/>
    <s v="Plan B"/>
  </r>
  <r>
    <s v="PAT5782"/>
    <n v="75"/>
    <x v="2"/>
    <x v="5"/>
    <d v="2023-11-28T00:00:00"/>
    <d v="2023-11-29T00:00:00"/>
    <n v="1"/>
    <x v="1"/>
    <n v="5"/>
    <s v="Dr. Patel"/>
    <n v="15251"/>
    <x v="3"/>
    <x v="1"/>
    <x v="0"/>
    <d v="2023-11-24T00:00:00"/>
    <d v="2023-11-24T18:00:00"/>
    <x v="3"/>
    <x v="0"/>
    <s v="Afternoon"/>
    <n v="10"/>
    <n v="10"/>
    <s v="Plan B"/>
  </r>
  <r>
    <s v="PAT5783"/>
    <n v="23"/>
    <x v="3"/>
    <x v="3"/>
    <d v="2023-04-29T00:00:00"/>
    <d v="2023-04-05T00:00:00"/>
    <n v="5"/>
    <x v="3"/>
    <n v="2"/>
    <s v="Dr. Mehta"/>
    <n v="28341"/>
    <x v="0"/>
    <x v="0"/>
    <x v="1"/>
    <d v="2023-04-25T00:00:00"/>
    <d v="2023-04-26T23:00:00"/>
    <x v="0"/>
    <x v="0"/>
    <s v="Afternoon"/>
    <n v="11"/>
    <n v="10"/>
    <s v="Plan C"/>
  </r>
  <r>
    <s v="PAT5784"/>
    <n v="55"/>
    <x v="0"/>
    <x v="5"/>
    <d v="2024-02-18T00:00:00"/>
    <d v="2024-02-22T00:00:00"/>
    <n v="4"/>
    <x v="4"/>
    <n v="4"/>
    <s v="Dr. Rao"/>
    <n v="16678"/>
    <x v="1"/>
    <x v="1"/>
    <x v="0"/>
    <d v="2024-02-17T00:00:00"/>
    <d v="2024-02-17T08:00:00"/>
    <x v="3"/>
    <x v="0"/>
    <s v="Night"/>
    <n v="9"/>
    <n v="10"/>
    <s v="Plan B"/>
  </r>
  <r>
    <s v="PAT5785"/>
    <n v="80"/>
    <x v="2"/>
    <x v="1"/>
    <d v="2024-10-06T00:00:00"/>
    <d v="2024-06-24T00:00:00"/>
    <n v="14"/>
    <x v="1"/>
    <n v="5"/>
    <s v="Dr. Patel"/>
    <n v="19367"/>
    <x v="0"/>
    <x v="1"/>
    <x v="0"/>
    <d v="2024-07-06T00:00:00"/>
    <d v="2024-07-06T02:00:00"/>
    <x v="4"/>
    <x v="0"/>
    <s v="Afternoon"/>
    <n v="5"/>
    <n v="8"/>
    <s v="Plan A"/>
  </r>
  <r>
    <s v="PAT5786"/>
    <n v="75"/>
    <x v="2"/>
    <x v="0"/>
    <d v="2023-02-01T00:00:00"/>
    <d v="2023-05-01T00:00:00"/>
    <n v="3"/>
    <x v="2"/>
    <n v="1"/>
    <s v="Dr. Patel"/>
    <n v="34672"/>
    <x v="3"/>
    <x v="0"/>
    <x v="0"/>
    <d v="2023-01-01T00:00:00"/>
    <d v="2023-01-01T22:00:00"/>
    <x v="1"/>
    <x v="1"/>
    <s v="Morning"/>
    <n v="10"/>
    <n v="10"/>
    <s v="Plan B"/>
  </r>
  <r>
    <s v="PAT5787"/>
    <n v="16"/>
    <x v="1"/>
    <x v="2"/>
    <d v="2024-04-18T00:00:00"/>
    <d v="2024-04-27T00:00:00"/>
    <n v="9"/>
    <x v="0"/>
    <n v="2"/>
    <s v="Dr. Patel"/>
    <n v="9332"/>
    <x v="0"/>
    <x v="1"/>
    <x v="0"/>
    <d v="2024-04-16T00:00:00"/>
    <d v="2024-04-17T04:00:00"/>
    <x v="4"/>
    <x v="0"/>
    <s v="Afternoon"/>
    <n v="5"/>
    <n v="12"/>
    <s v="Plan B"/>
  </r>
  <r>
    <s v="PAT5788"/>
    <n v="8"/>
    <x v="1"/>
    <x v="1"/>
    <d v="2024-02-28T00:00:00"/>
    <d v="2024-11-03T00:00:00"/>
    <n v="12"/>
    <x v="0"/>
    <n v="5"/>
    <s v="Dr. Gupta"/>
    <n v="17002"/>
    <x v="1"/>
    <x v="1"/>
    <x v="0"/>
    <d v="2024-02-27T00:00:00"/>
    <d v="2024-02-27T18:00:00"/>
    <x v="1"/>
    <x v="0"/>
    <s v="Afternoon"/>
    <n v="5"/>
    <n v="12"/>
    <s v="Plan B"/>
  </r>
  <r>
    <s v="PAT5789"/>
    <n v="4"/>
    <x v="1"/>
    <x v="2"/>
    <d v="2023-02-25T00:00:00"/>
    <d v="2023-07-03T00:00:00"/>
    <n v="10"/>
    <x v="5"/>
    <n v="5"/>
    <s v="Dr. Patel"/>
    <n v="25284"/>
    <x v="2"/>
    <x v="1"/>
    <x v="0"/>
    <d v="2023-02-23T00:00:00"/>
    <d v="2023-02-24T10:00:00"/>
    <x v="2"/>
    <x v="0"/>
    <s v="Morning"/>
    <n v="7"/>
    <n v="8"/>
    <s v="Plan C"/>
  </r>
  <r>
    <s v="PAT5790"/>
    <n v="4"/>
    <x v="1"/>
    <x v="2"/>
    <d v="2023-12-07T00:00:00"/>
    <d v="2023-07-21T00:00:00"/>
    <n v="9"/>
    <x v="2"/>
    <n v="3"/>
    <s v="Dr. Sharma"/>
    <n v="20700"/>
    <x v="1"/>
    <x v="1"/>
    <x v="1"/>
    <d v="2023-07-07T00:00:00"/>
    <d v="2023-07-07T05:00:00"/>
    <x v="0"/>
    <x v="0"/>
    <s v="Morning"/>
    <n v="10"/>
    <n v="8"/>
    <s v="Plan B"/>
  </r>
  <r>
    <s v="PAT5791"/>
    <n v="56"/>
    <x v="0"/>
    <x v="0"/>
    <d v="2024-06-14T00:00:00"/>
    <d v="2024-06-21T00:00:00"/>
    <n v="7"/>
    <x v="5"/>
    <n v="4"/>
    <s v="Dr. Patel"/>
    <n v="18769"/>
    <x v="2"/>
    <x v="1"/>
    <x v="0"/>
    <d v="2024-06-14T00:00:00"/>
    <d v="2024-06-14T17:00:00"/>
    <x v="0"/>
    <x v="0"/>
    <s v="Night"/>
    <n v="6"/>
    <n v="12"/>
    <s v="Plan B"/>
  </r>
  <r>
    <s v="PAT5792"/>
    <n v="25"/>
    <x v="3"/>
    <x v="3"/>
    <d v="2024-06-01T00:00:00"/>
    <d v="2024-08-01T00:00:00"/>
    <n v="2"/>
    <x v="1"/>
    <n v="3"/>
    <s v="Dr. Gupta"/>
    <n v="34318"/>
    <x v="4"/>
    <x v="1"/>
    <x v="0"/>
    <d v="2024-03-01T00:00:00"/>
    <d v="2024-04-01T22:00:00"/>
    <x v="2"/>
    <x v="0"/>
    <s v="Morning"/>
    <n v="9"/>
    <n v="10"/>
    <s v="Plan C"/>
  </r>
  <r>
    <s v="PAT5793"/>
    <n v="67"/>
    <x v="2"/>
    <x v="5"/>
    <d v="2024-05-25T00:00:00"/>
    <d v="2024-07-06T00:00:00"/>
    <n v="13"/>
    <x v="3"/>
    <n v="2"/>
    <s v="Dr. Patel"/>
    <n v="29323"/>
    <x v="1"/>
    <x v="1"/>
    <x v="0"/>
    <d v="2024-05-23T00:00:00"/>
    <d v="2024-05-24T13:00:00"/>
    <x v="3"/>
    <x v="0"/>
    <s v="Morning"/>
    <n v="6"/>
    <n v="12"/>
    <s v="Plan C"/>
  </r>
  <r>
    <s v="PAT5794"/>
    <n v="67"/>
    <x v="2"/>
    <x v="0"/>
    <d v="2024-03-28T00:00:00"/>
    <d v="2024-02-04T00:00:00"/>
    <n v="5"/>
    <x v="2"/>
    <n v="5"/>
    <s v="Dr. Rao"/>
    <n v="32610"/>
    <x v="1"/>
    <x v="1"/>
    <x v="0"/>
    <d v="2024-03-28T00:00:00"/>
    <d v="2024-03-29T17:00:00"/>
    <x v="2"/>
    <x v="0"/>
    <s v="Afternoon"/>
    <n v="10"/>
    <n v="8"/>
    <s v="Plan C"/>
  </r>
  <r>
    <s v="PAT5795"/>
    <n v="27"/>
    <x v="3"/>
    <x v="1"/>
    <d v="2023-02-22T00:00:00"/>
    <d v="2023-02-26T00:00:00"/>
    <n v="4"/>
    <x v="2"/>
    <n v="3"/>
    <s v="Dr. Rao"/>
    <n v="11963"/>
    <x v="3"/>
    <x v="0"/>
    <x v="1"/>
    <d v="2023-02-18T00:00:00"/>
    <d v="2023-02-18T05:00:00"/>
    <x v="2"/>
    <x v="0"/>
    <s v="Morning"/>
    <n v="6"/>
    <n v="8"/>
    <s v="Plan C"/>
  </r>
  <r>
    <s v="PAT5796"/>
    <n v="32"/>
    <x v="3"/>
    <x v="3"/>
    <d v="2023-07-28T00:00:00"/>
    <d v="2023-02-08T00:00:00"/>
    <n v="5"/>
    <x v="2"/>
    <n v="4"/>
    <s v="Dr. Gupta"/>
    <n v="12838"/>
    <x v="0"/>
    <x v="0"/>
    <x v="0"/>
    <d v="2023-07-23T00:00:00"/>
    <d v="2023-07-24T08:00:00"/>
    <x v="1"/>
    <x v="0"/>
    <s v="Night"/>
    <n v="10"/>
    <n v="12"/>
    <s v="Plan A"/>
  </r>
  <r>
    <s v="PAT5797"/>
    <n v="50"/>
    <x v="4"/>
    <x v="1"/>
    <d v="2023-01-10T00:00:00"/>
    <d v="2023-03-10T00:00:00"/>
    <n v="2"/>
    <x v="5"/>
    <n v="2"/>
    <s v="Dr. Sharma"/>
    <n v="17243"/>
    <x v="2"/>
    <x v="0"/>
    <x v="0"/>
    <d v="2023-09-30T00:00:00"/>
    <d v="2023-01-10T06:00:00"/>
    <x v="2"/>
    <x v="0"/>
    <s v="Afternoon"/>
    <n v="9"/>
    <n v="10"/>
    <s v="Plan A"/>
  </r>
  <r>
    <s v="PAT5798"/>
    <n v="61"/>
    <x v="0"/>
    <x v="3"/>
    <d v="2023-05-15T00:00:00"/>
    <d v="2023-05-16T00:00:00"/>
    <n v="1"/>
    <x v="1"/>
    <n v="1"/>
    <s v="Dr. Sharma"/>
    <n v="32939"/>
    <x v="2"/>
    <x v="1"/>
    <x v="1"/>
    <d v="2023-05-15T00:00:00"/>
    <d v="2023-05-16T09:00:00"/>
    <x v="0"/>
    <x v="0"/>
    <s v="Night"/>
    <n v="4"/>
    <n v="10"/>
    <s v="Plan B"/>
  </r>
  <r>
    <s v="PAT5799"/>
    <n v="51"/>
    <x v="0"/>
    <x v="1"/>
    <d v="2023-10-22T00:00:00"/>
    <d v="2023-10-26T00:00:00"/>
    <n v="4"/>
    <x v="2"/>
    <n v="3"/>
    <s v="Dr. Mehta"/>
    <n v="6845"/>
    <x v="3"/>
    <x v="0"/>
    <x v="0"/>
    <d v="2023-10-20T00:00:00"/>
    <d v="2023-10-21T00:00:00"/>
    <x v="4"/>
    <x v="0"/>
    <s v="Morning"/>
    <n v="9"/>
    <n v="8"/>
    <s v="Plan A"/>
  </r>
  <r>
    <s v="PAT5800"/>
    <n v="19"/>
    <x v="3"/>
    <x v="0"/>
    <d v="2024-03-24T00:00:00"/>
    <d v="2024-03-31T00:00:00"/>
    <n v="7"/>
    <x v="2"/>
    <n v="2"/>
    <s v="Dr. Gupta"/>
    <n v="21766"/>
    <x v="3"/>
    <x v="0"/>
    <x v="0"/>
    <d v="2024-03-21T00:00:00"/>
    <d v="2024-03-21T04:00:00"/>
    <x v="1"/>
    <x v="0"/>
    <s v="Night"/>
    <n v="11"/>
    <n v="12"/>
    <s v="Plan B"/>
  </r>
  <r>
    <s v="PAT5801"/>
    <n v="21"/>
    <x v="3"/>
    <x v="3"/>
    <d v="2024-11-05T00:00:00"/>
    <d v="2024-05-22T00:00:00"/>
    <n v="11"/>
    <x v="0"/>
    <n v="1"/>
    <s v="Dr. Patel"/>
    <n v="41880"/>
    <x v="0"/>
    <x v="0"/>
    <x v="0"/>
    <d v="2024-06-05T00:00:00"/>
    <d v="2024-07-05T08:00:00"/>
    <x v="1"/>
    <x v="0"/>
    <s v="Night"/>
    <n v="4"/>
    <n v="12"/>
    <s v="Plan A"/>
  </r>
  <r>
    <s v="PAT5802"/>
    <n v="5"/>
    <x v="1"/>
    <x v="3"/>
    <d v="2023-05-05T00:00:00"/>
    <d v="2023-05-18T00:00:00"/>
    <n v="13"/>
    <x v="3"/>
    <n v="3"/>
    <s v="Dr. Gupta"/>
    <n v="17780"/>
    <x v="0"/>
    <x v="1"/>
    <x v="0"/>
    <d v="2023-01-05T00:00:00"/>
    <d v="2023-02-05T13:00:00"/>
    <x v="3"/>
    <x v="0"/>
    <s v="Morning"/>
    <n v="8"/>
    <n v="8"/>
    <s v="Plan C"/>
  </r>
  <r>
    <s v="PAT5803"/>
    <n v="82"/>
    <x v="2"/>
    <x v="2"/>
    <d v="2023-01-30T00:00:00"/>
    <d v="2023-09-02T00:00:00"/>
    <n v="10"/>
    <x v="0"/>
    <n v="2"/>
    <s v="Dr. Mehta"/>
    <n v="47856"/>
    <x v="1"/>
    <x v="1"/>
    <x v="1"/>
    <d v="2023-01-26T00:00:00"/>
    <d v="2023-01-26T11:00:00"/>
    <x v="4"/>
    <x v="0"/>
    <s v="Morning"/>
    <n v="4"/>
    <n v="12"/>
    <s v="Plan C"/>
  </r>
  <r>
    <s v="PAT5804"/>
    <n v="42"/>
    <x v="4"/>
    <x v="2"/>
    <d v="2023-03-09T00:00:00"/>
    <d v="2023-11-09T00:00:00"/>
    <n v="8"/>
    <x v="0"/>
    <n v="2"/>
    <s v="Dr. Gupta"/>
    <n v="6509"/>
    <x v="4"/>
    <x v="0"/>
    <x v="0"/>
    <d v="2023-03-09T00:00:00"/>
    <d v="2023-04-09T00:00:00"/>
    <x v="1"/>
    <x v="0"/>
    <s v="Afternoon"/>
    <n v="5"/>
    <n v="8"/>
    <s v="Plan A"/>
  </r>
  <r>
    <s v="PAT5805"/>
    <n v="61"/>
    <x v="0"/>
    <x v="4"/>
    <d v="2023-12-06T00:00:00"/>
    <d v="2023-06-14T00:00:00"/>
    <n v="2"/>
    <x v="3"/>
    <n v="3"/>
    <s v="Dr. Gupta"/>
    <n v="28957"/>
    <x v="0"/>
    <x v="1"/>
    <x v="0"/>
    <d v="2023-12-06T00:00:00"/>
    <d v="2023-12-06T11:00:00"/>
    <x v="2"/>
    <x v="0"/>
    <s v="Afternoon"/>
    <n v="11"/>
    <n v="10"/>
    <s v="Plan A"/>
  </r>
  <r>
    <s v="PAT5806"/>
    <n v="22"/>
    <x v="3"/>
    <x v="1"/>
    <d v="2023-11-15T00:00:00"/>
    <d v="2023-11-17T00:00:00"/>
    <n v="2"/>
    <x v="1"/>
    <n v="2"/>
    <s v="Dr. Mehta"/>
    <n v="39346"/>
    <x v="3"/>
    <x v="1"/>
    <x v="0"/>
    <d v="2023-11-14T00:00:00"/>
    <d v="2023-11-14T17:00:00"/>
    <x v="1"/>
    <x v="0"/>
    <s v="Afternoon"/>
    <n v="5"/>
    <n v="10"/>
    <s v="Plan B"/>
  </r>
  <r>
    <s v="PAT5807"/>
    <n v="21"/>
    <x v="3"/>
    <x v="2"/>
    <d v="2023-01-15T00:00:00"/>
    <d v="2023-01-29T00:00:00"/>
    <n v="14"/>
    <x v="0"/>
    <n v="5"/>
    <s v="Dr. Sharma"/>
    <n v="22263"/>
    <x v="0"/>
    <x v="0"/>
    <x v="0"/>
    <d v="2023-11-01T00:00:00"/>
    <d v="2023-11-01T07:00:00"/>
    <x v="1"/>
    <x v="1"/>
    <s v="Morning"/>
    <n v="11"/>
    <n v="12"/>
    <s v="Plan B"/>
  </r>
  <r>
    <s v="PAT5808"/>
    <n v="70"/>
    <x v="2"/>
    <x v="4"/>
    <d v="2024-02-22T00:00:00"/>
    <d v="2024-08-03T00:00:00"/>
    <n v="15"/>
    <x v="1"/>
    <n v="3"/>
    <s v="Dr. Patel"/>
    <n v="31148"/>
    <x v="2"/>
    <x v="0"/>
    <x v="1"/>
    <d v="2024-02-17T00:00:00"/>
    <d v="2024-02-18T13:00:00"/>
    <x v="1"/>
    <x v="0"/>
    <s v="Night"/>
    <n v="9"/>
    <n v="10"/>
    <s v="Plan B"/>
  </r>
  <r>
    <s v="PAT5809"/>
    <n v="1"/>
    <x v="1"/>
    <x v="2"/>
    <d v="2023-06-04T00:00:00"/>
    <d v="2023-04-14T00:00:00"/>
    <n v="8"/>
    <x v="0"/>
    <n v="2"/>
    <s v="Dr. Mehta"/>
    <n v="36533"/>
    <x v="4"/>
    <x v="0"/>
    <x v="1"/>
    <d v="2023-01-04T00:00:00"/>
    <d v="2023-02-04T20:00:00"/>
    <x v="3"/>
    <x v="1"/>
    <s v="Night"/>
    <n v="5"/>
    <n v="10"/>
    <s v="Plan C"/>
  </r>
  <r>
    <s v="PAT5810"/>
    <n v="5"/>
    <x v="1"/>
    <x v="1"/>
    <d v="2023-08-19T00:00:00"/>
    <d v="2023-08-29T00:00:00"/>
    <n v="10"/>
    <x v="4"/>
    <n v="1"/>
    <s v="Dr. Rao"/>
    <n v="47608"/>
    <x v="1"/>
    <x v="0"/>
    <x v="0"/>
    <d v="2023-08-15T00:00:00"/>
    <d v="2023-08-16T23:00:00"/>
    <x v="1"/>
    <x v="0"/>
    <s v="Afternoon"/>
    <n v="5"/>
    <n v="8"/>
    <s v="Plan C"/>
  </r>
  <r>
    <s v="PAT5811"/>
    <n v="12"/>
    <x v="1"/>
    <x v="3"/>
    <d v="2023-04-27T00:00:00"/>
    <d v="2023-06-05T00:00:00"/>
    <n v="9"/>
    <x v="3"/>
    <n v="1"/>
    <s v="Dr. Sharma"/>
    <n v="17931"/>
    <x v="2"/>
    <x v="1"/>
    <x v="0"/>
    <d v="2023-04-26T00:00:00"/>
    <d v="2023-04-26T08:00:00"/>
    <x v="1"/>
    <x v="0"/>
    <s v="Afternoon"/>
    <n v="8"/>
    <n v="8"/>
    <s v="Plan C"/>
  </r>
  <r>
    <s v="PAT5812"/>
    <n v="46"/>
    <x v="4"/>
    <x v="5"/>
    <d v="2024-04-17T00:00:00"/>
    <d v="2024-04-18T00:00:00"/>
    <n v="1"/>
    <x v="0"/>
    <n v="5"/>
    <s v="Dr. Rao"/>
    <n v="6359"/>
    <x v="2"/>
    <x v="1"/>
    <x v="0"/>
    <d v="2024-04-14T00:00:00"/>
    <d v="2024-04-14T15:00:00"/>
    <x v="3"/>
    <x v="0"/>
    <s v="Morning"/>
    <n v="5"/>
    <n v="12"/>
    <s v="Plan C"/>
  </r>
  <r>
    <s v="PAT5813"/>
    <n v="34"/>
    <x v="3"/>
    <x v="1"/>
    <d v="2023-01-05T00:00:00"/>
    <d v="2023-12-05T00:00:00"/>
    <n v="11"/>
    <x v="4"/>
    <n v="3"/>
    <s v="Dr. Sharma"/>
    <n v="29532"/>
    <x v="4"/>
    <x v="1"/>
    <x v="1"/>
    <d v="2023-04-30T00:00:00"/>
    <d v="2023-02-05T00:00:00"/>
    <x v="4"/>
    <x v="0"/>
    <s v="Night"/>
    <n v="7"/>
    <n v="8"/>
    <s v="Plan B"/>
  </r>
  <r>
    <s v="PAT5814"/>
    <n v="49"/>
    <x v="4"/>
    <x v="0"/>
    <d v="2023-07-06T00:00:00"/>
    <d v="2023-06-16T00:00:00"/>
    <n v="9"/>
    <x v="5"/>
    <n v="2"/>
    <s v="Dr. Patel"/>
    <n v="25344"/>
    <x v="1"/>
    <x v="1"/>
    <x v="0"/>
    <d v="2023-05-06T00:00:00"/>
    <d v="2023-06-06T09:00:00"/>
    <x v="0"/>
    <x v="0"/>
    <s v="Afternoon"/>
    <n v="7"/>
    <n v="12"/>
    <s v="Plan C"/>
  </r>
  <r>
    <s v="PAT5815"/>
    <n v="78"/>
    <x v="2"/>
    <x v="2"/>
    <d v="2024-05-25T00:00:00"/>
    <d v="2024-04-06T00:00:00"/>
    <n v="10"/>
    <x v="4"/>
    <n v="2"/>
    <s v="Dr. Patel"/>
    <n v="9242"/>
    <x v="3"/>
    <x v="1"/>
    <x v="0"/>
    <d v="2024-05-23T00:00:00"/>
    <d v="2024-05-23T01:00:00"/>
    <x v="3"/>
    <x v="0"/>
    <s v="Morning"/>
    <n v="7"/>
    <n v="12"/>
    <s v="Plan C"/>
  </r>
  <r>
    <s v="PAT5816"/>
    <n v="45"/>
    <x v="4"/>
    <x v="2"/>
    <d v="2023-10-26T00:00:00"/>
    <d v="2023-10-30T00:00:00"/>
    <n v="4"/>
    <x v="2"/>
    <n v="1"/>
    <s v="Dr. Gupta"/>
    <n v="25601"/>
    <x v="1"/>
    <x v="1"/>
    <x v="0"/>
    <d v="2023-10-26T00:00:00"/>
    <d v="2023-10-26T03:00:00"/>
    <x v="3"/>
    <x v="0"/>
    <s v="Afternoon"/>
    <n v="4"/>
    <n v="8"/>
    <s v="Plan C"/>
  </r>
  <r>
    <s v="PAT5817"/>
    <n v="27"/>
    <x v="3"/>
    <x v="3"/>
    <d v="2024-05-06T00:00:00"/>
    <d v="2024-06-17T00:00:00"/>
    <n v="12"/>
    <x v="0"/>
    <n v="5"/>
    <s v="Dr. Rao"/>
    <n v="24116"/>
    <x v="0"/>
    <x v="1"/>
    <x v="1"/>
    <d v="2024-04-06T00:00:00"/>
    <d v="2024-04-06T01:00:00"/>
    <x v="1"/>
    <x v="0"/>
    <s v="Morning"/>
    <n v="9"/>
    <n v="10"/>
    <s v="Plan C"/>
  </r>
  <r>
    <s v="PAT5818"/>
    <n v="73"/>
    <x v="2"/>
    <x v="0"/>
    <d v="2023-07-10T00:00:00"/>
    <d v="2023-10-10T00:00:00"/>
    <n v="3"/>
    <x v="4"/>
    <n v="1"/>
    <s v="Dr. Sharma"/>
    <n v="40477"/>
    <x v="2"/>
    <x v="0"/>
    <x v="0"/>
    <d v="2023-06-10T00:00:00"/>
    <d v="2023-06-10T16:00:00"/>
    <x v="1"/>
    <x v="0"/>
    <s v="Night"/>
    <n v="9"/>
    <n v="10"/>
    <s v="Plan A"/>
  </r>
  <r>
    <s v="PAT5819"/>
    <n v="26"/>
    <x v="3"/>
    <x v="3"/>
    <d v="2024-01-03T00:00:00"/>
    <d v="2024-06-03T00:00:00"/>
    <n v="5"/>
    <x v="1"/>
    <n v="1"/>
    <s v="Dr. Patel"/>
    <n v="35782"/>
    <x v="0"/>
    <x v="0"/>
    <x v="0"/>
    <d v="2024-02-25T00:00:00"/>
    <d v="2024-02-25T03:00:00"/>
    <x v="0"/>
    <x v="0"/>
    <s v="Morning"/>
    <n v="6"/>
    <n v="10"/>
    <s v="Plan B"/>
  </r>
  <r>
    <s v="PAT5820"/>
    <n v="47"/>
    <x v="4"/>
    <x v="0"/>
    <d v="2024-09-05T00:00:00"/>
    <d v="2024-05-16T00:00:00"/>
    <n v="7"/>
    <x v="5"/>
    <n v="5"/>
    <s v="Dr. Mehta"/>
    <n v="23880"/>
    <x v="3"/>
    <x v="0"/>
    <x v="0"/>
    <d v="2024-09-05T00:00:00"/>
    <d v="2024-10-05T07:00:00"/>
    <x v="1"/>
    <x v="0"/>
    <s v="Afternoon"/>
    <n v="8"/>
    <n v="10"/>
    <s v="Plan B"/>
  </r>
  <r>
    <s v="PAT5821"/>
    <n v="86"/>
    <x v="2"/>
    <x v="5"/>
    <d v="2024-04-28T00:00:00"/>
    <d v="2024-04-29T00:00:00"/>
    <n v="1"/>
    <x v="0"/>
    <n v="3"/>
    <s v="Dr. Patel"/>
    <n v="8499"/>
    <x v="0"/>
    <x v="0"/>
    <x v="0"/>
    <d v="2024-04-23T00:00:00"/>
    <d v="2024-04-24T00:00:00"/>
    <x v="2"/>
    <x v="0"/>
    <s v="Afternoon"/>
    <n v="7"/>
    <n v="12"/>
    <s v="Plan C"/>
  </r>
  <r>
    <s v="PAT5822"/>
    <n v="56"/>
    <x v="0"/>
    <x v="2"/>
    <d v="2023-07-09T00:00:00"/>
    <d v="2023-09-17T00:00:00"/>
    <n v="10"/>
    <x v="2"/>
    <n v="2"/>
    <s v="Dr. Mehta"/>
    <n v="36587"/>
    <x v="1"/>
    <x v="1"/>
    <x v="0"/>
    <d v="2023-04-09T00:00:00"/>
    <d v="2023-05-09T01:00:00"/>
    <x v="1"/>
    <x v="0"/>
    <s v="Night"/>
    <n v="7"/>
    <n v="10"/>
    <s v="Plan A"/>
  </r>
  <r>
    <s v="PAT5823"/>
    <n v="63"/>
    <x v="0"/>
    <x v="2"/>
    <d v="2024-12-04T00:00:00"/>
    <d v="2024-04-18T00:00:00"/>
    <n v="6"/>
    <x v="4"/>
    <n v="3"/>
    <s v="Dr. Sharma"/>
    <n v="49458"/>
    <x v="0"/>
    <x v="0"/>
    <x v="0"/>
    <d v="2024-11-04T00:00:00"/>
    <d v="2024-11-04T10:00:00"/>
    <x v="1"/>
    <x v="0"/>
    <s v="Night"/>
    <n v="5"/>
    <n v="12"/>
    <s v="Plan B"/>
  </r>
  <r>
    <s v="PAT5824"/>
    <n v="48"/>
    <x v="4"/>
    <x v="5"/>
    <d v="2023-05-29T00:00:00"/>
    <d v="2023-02-06T00:00:00"/>
    <n v="4"/>
    <x v="5"/>
    <n v="4"/>
    <s v="Dr. Patel"/>
    <n v="31020"/>
    <x v="3"/>
    <x v="1"/>
    <x v="0"/>
    <d v="2023-05-24T00:00:00"/>
    <d v="2023-05-24T12:00:00"/>
    <x v="2"/>
    <x v="0"/>
    <s v="Afternoon"/>
    <n v="7"/>
    <n v="8"/>
    <s v="Plan B"/>
  </r>
  <r>
    <s v="PAT5825"/>
    <n v="61"/>
    <x v="0"/>
    <x v="4"/>
    <d v="2024-01-28T00:00:00"/>
    <d v="2024-07-02T00:00:00"/>
    <n v="10"/>
    <x v="0"/>
    <n v="4"/>
    <s v="Dr. Patel"/>
    <n v="13080"/>
    <x v="3"/>
    <x v="0"/>
    <x v="1"/>
    <d v="2024-01-24T00:00:00"/>
    <d v="2024-01-24T03:00:00"/>
    <x v="0"/>
    <x v="0"/>
    <s v="Afternoon"/>
    <n v="5"/>
    <n v="8"/>
    <s v="Plan C"/>
  </r>
  <r>
    <s v="PAT5826"/>
    <n v="81"/>
    <x v="2"/>
    <x v="3"/>
    <d v="2023-07-15T00:00:00"/>
    <d v="2023-07-22T00:00:00"/>
    <n v="7"/>
    <x v="5"/>
    <n v="4"/>
    <s v="Dr. Sharma"/>
    <n v="28207"/>
    <x v="3"/>
    <x v="0"/>
    <x v="0"/>
    <d v="2023-10-07T00:00:00"/>
    <d v="2023-11-07T12:00:00"/>
    <x v="2"/>
    <x v="0"/>
    <s v="Afternoon"/>
    <n v="5"/>
    <n v="12"/>
    <s v="Plan C"/>
  </r>
  <r>
    <s v="PAT5827"/>
    <n v="26"/>
    <x v="3"/>
    <x v="5"/>
    <d v="2024-04-06T00:00:00"/>
    <d v="2024-07-06T00:00:00"/>
    <n v="3"/>
    <x v="2"/>
    <n v="5"/>
    <s v="Dr. Patel"/>
    <n v="38957"/>
    <x v="1"/>
    <x v="0"/>
    <x v="1"/>
    <d v="2024-03-06T00:00:00"/>
    <d v="2024-04-06T22:00:00"/>
    <x v="3"/>
    <x v="0"/>
    <s v="Night"/>
    <n v="6"/>
    <n v="10"/>
    <s v="Plan B"/>
  </r>
  <r>
    <s v="PAT5828"/>
    <n v="36"/>
    <x v="4"/>
    <x v="3"/>
    <d v="2023-05-20T00:00:00"/>
    <d v="2023-05-31T00:00:00"/>
    <n v="11"/>
    <x v="4"/>
    <n v="1"/>
    <s v="Dr. Mehta"/>
    <n v="18908"/>
    <x v="3"/>
    <x v="1"/>
    <x v="0"/>
    <d v="2023-05-17T00:00:00"/>
    <d v="2023-05-19T00:00:00"/>
    <x v="2"/>
    <x v="0"/>
    <s v="Afternoon"/>
    <n v="4"/>
    <n v="12"/>
    <s v="Plan B"/>
  </r>
  <r>
    <s v="PAT5829"/>
    <n v="1"/>
    <x v="1"/>
    <x v="1"/>
    <d v="2023-03-13T00:00:00"/>
    <d v="2023-03-24T00:00:00"/>
    <n v="11"/>
    <x v="5"/>
    <n v="3"/>
    <s v="Dr. Patel"/>
    <n v="35652"/>
    <x v="2"/>
    <x v="1"/>
    <x v="0"/>
    <d v="2023-12-03T00:00:00"/>
    <d v="2023-03-13T18:00:00"/>
    <x v="4"/>
    <x v="0"/>
    <s v="Night"/>
    <n v="5"/>
    <n v="10"/>
    <s v="Plan A"/>
  </r>
  <r>
    <s v="PAT5830"/>
    <n v="8"/>
    <x v="1"/>
    <x v="2"/>
    <d v="2023-10-10T00:00:00"/>
    <d v="2023-12-10T00:00:00"/>
    <n v="2"/>
    <x v="5"/>
    <n v="2"/>
    <s v="Dr. Rao"/>
    <n v="35344"/>
    <x v="3"/>
    <x v="1"/>
    <x v="0"/>
    <d v="2023-06-10T00:00:00"/>
    <d v="2023-07-10T03:00:00"/>
    <x v="3"/>
    <x v="0"/>
    <s v="Afternoon"/>
    <n v="5"/>
    <n v="10"/>
    <s v="Plan B"/>
  </r>
  <r>
    <s v="PAT5831"/>
    <n v="52"/>
    <x v="0"/>
    <x v="3"/>
    <d v="2024-02-29T00:00:00"/>
    <d v="2024-09-03T00:00:00"/>
    <n v="9"/>
    <x v="3"/>
    <n v="4"/>
    <s v="Dr. Gupta"/>
    <n v="30034"/>
    <x v="0"/>
    <x v="1"/>
    <x v="0"/>
    <d v="2024-02-27T00:00:00"/>
    <d v="2024-02-27T15:00:00"/>
    <x v="1"/>
    <x v="0"/>
    <s v="Morning"/>
    <n v="9"/>
    <n v="12"/>
    <s v="Plan B"/>
  </r>
  <r>
    <s v="PAT5832"/>
    <n v="79"/>
    <x v="2"/>
    <x v="0"/>
    <d v="2023-12-15T00:00:00"/>
    <d v="2023-12-21T00:00:00"/>
    <n v="6"/>
    <x v="5"/>
    <n v="3"/>
    <s v="Dr. Mehta"/>
    <n v="30788"/>
    <x v="0"/>
    <x v="1"/>
    <x v="1"/>
    <d v="2023-12-13T00:00:00"/>
    <d v="2023-12-13T21:00:00"/>
    <x v="3"/>
    <x v="0"/>
    <s v="Morning"/>
    <n v="6"/>
    <n v="12"/>
    <s v="Plan C"/>
  </r>
  <r>
    <s v="PAT5833"/>
    <n v="47"/>
    <x v="4"/>
    <x v="3"/>
    <d v="2024-03-06T00:00:00"/>
    <d v="2024-05-06T00:00:00"/>
    <n v="2"/>
    <x v="3"/>
    <n v="4"/>
    <s v="Dr. Rao"/>
    <n v="17751"/>
    <x v="0"/>
    <x v="1"/>
    <x v="0"/>
    <d v="2024-05-31T00:00:00"/>
    <d v="2024-05-31T16:00:00"/>
    <x v="0"/>
    <x v="0"/>
    <s v="Afternoon"/>
    <n v="5"/>
    <n v="10"/>
    <s v="Plan B"/>
  </r>
  <r>
    <s v="PAT5834"/>
    <n v="56"/>
    <x v="0"/>
    <x v="1"/>
    <d v="2023-01-10T00:00:00"/>
    <d v="2023-10-10T00:00:00"/>
    <n v="9"/>
    <x v="4"/>
    <n v="4"/>
    <s v="Dr. Sharma"/>
    <n v="38793"/>
    <x v="1"/>
    <x v="1"/>
    <x v="0"/>
    <d v="2023-09-28T00:00:00"/>
    <d v="2023-09-29T03:00:00"/>
    <x v="0"/>
    <x v="0"/>
    <s v="Morning"/>
    <n v="8"/>
    <n v="12"/>
    <s v="Plan C"/>
  </r>
  <r>
    <s v="PAT5835"/>
    <n v="86"/>
    <x v="2"/>
    <x v="2"/>
    <d v="2023-03-01T00:00:00"/>
    <d v="2023-12-01T00:00:00"/>
    <n v="9"/>
    <x v="0"/>
    <n v="2"/>
    <s v="Dr. Mehta"/>
    <n v="37839"/>
    <x v="0"/>
    <x v="1"/>
    <x v="1"/>
    <d v="2022-12-30T00:00:00"/>
    <d v="2022-12-31T23:00:00"/>
    <x v="2"/>
    <x v="0"/>
    <s v="Night"/>
    <n v="4"/>
    <n v="10"/>
    <s v="Plan B"/>
  </r>
  <r>
    <s v="PAT5836"/>
    <n v="14"/>
    <x v="1"/>
    <x v="5"/>
    <d v="2023-10-17T00:00:00"/>
    <d v="2023-10-26T00:00:00"/>
    <n v="9"/>
    <x v="0"/>
    <n v="5"/>
    <s v="Dr. Gupta"/>
    <n v="43314"/>
    <x v="1"/>
    <x v="0"/>
    <x v="0"/>
    <d v="2023-12-10T00:00:00"/>
    <d v="2023-12-10T21:00:00"/>
    <x v="3"/>
    <x v="0"/>
    <s v="Morning"/>
    <n v="11"/>
    <n v="12"/>
    <s v="Plan B"/>
  </r>
  <r>
    <s v="PAT5837"/>
    <n v="28"/>
    <x v="3"/>
    <x v="1"/>
    <d v="2023-02-11T00:00:00"/>
    <d v="2023-11-15T00:00:00"/>
    <n v="13"/>
    <x v="4"/>
    <n v="1"/>
    <s v="Dr. Gupta"/>
    <n v="40453"/>
    <x v="1"/>
    <x v="1"/>
    <x v="1"/>
    <d v="2023-10-31T00:00:00"/>
    <d v="2023-10-31T18:00:00"/>
    <x v="1"/>
    <x v="1"/>
    <s v="Morning"/>
    <n v="8"/>
    <n v="8"/>
    <s v="Plan B"/>
  </r>
  <r>
    <s v="PAT5838"/>
    <n v="87"/>
    <x v="2"/>
    <x v="2"/>
    <d v="2024-05-16T00:00:00"/>
    <d v="2024-05-25T00:00:00"/>
    <n v="9"/>
    <x v="4"/>
    <n v="5"/>
    <s v="Dr. Sharma"/>
    <n v="14385"/>
    <x v="3"/>
    <x v="0"/>
    <x v="0"/>
    <d v="2024-05-14T00:00:00"/>
    <d v="2024-05-14T05:00:00"/>
    <x v="0"/>
    <x v="0"/>
    <s v="Night"/>
    <n v="7"/>
    <n v="10"/>
    <s v="Plan A"/>
  </r>
  <r>
    <s v="PAT5839"/>
    <n v="78"/>
    <x v="2"/>
    <x v="3"/>
    <d v="2023-02-06T00:00:00"/>
    <d v="2023-11-06T00:00:00"/>
    <n v="9"/>
    <x v="1"/>
    <n v="3"/>
    <s v="Dr. Sharma"/>
    <n v="23232"/>
    <x v="2"/>
    <x v="0"/>
    <x v="0"/>
    <d v="2023-05-31T00:00:00"/>
    <d v="2023-01-06T13:00:00"/>
    <x v="1"/>
    <x v="0"/>
    <s v="Morning"/>
    <n v="4"/>
    <n v="8"/>
    <s v="Plan C"/>
  </r>
  <r>
    <s v="PAT5840"/>
    <n v="88"/>
    <x v="2"/>
    <x v="4"/>
    <d v="2024-02-04T00:00:00"/>
    <d v="2024-03-04T00:00:00"/>
    <n v="1"/>
    <x v="4"/>
    <n v="5"/>
    <s v="Dr. Mehta"/>
    <n v="48344"/>
    <x v="3"/>
    <x v="1"/>
    <x v="1"/>
    <d v="2024-03-31T00:00:00"/>
    <d v="2024-01-04T00:00:00"/>
    <x v="4"/>
    <x v="0"/>
    <s v="Morning"/>
    <n v="7"/>
    <n v="12"/>
    <s v="Plan A"/>
  </r>
  <r>
    <s v="PAT5841"/>
    <n v="2"/>
    <x v="1"/>
    <x v="4"/>
    <d v="2024-10-05T00:00:00"/>
    <d v="2024-05-17T00:00:00"/>
    <n v="7"/>
    <x v="5"/>
    <n v="3"/>
    <s v="Dr. Patel"/>
    <n v="39790"/>
    <x v="3"/>
    <x v="0"/>
    <x v="0"/>
    <d v="2024-06-05T00:00:00"/>
    <d v="2024-06-05T08:00:00"/>
    <x v="0"/>
    <x v="0"/>
    <s v="Afternoon"/>
    <n v="9"/>
    <n v="8"/>
    <s v="Plan B"/>
  </r>
  <r>
    <s v="PAT5842"/>
    <n v="26"/>
    <x v="3"/>
    <x v="0"/>
    <d v="2023-12-20T00:00:00"/>
    <d v="2024-03-01T00:00:00"/>
    <n v="14"/>
    <x v="0"/>
    <n v="3"/>
    <s v="Dr. Sharma"/>
    <n v="20831"/>
    <x v="1"/>
    <x v="1"/>
    <x v="1"/>
    <d v="2023-12-17T00:00:00"/>
    <d v="2023-12-18T09:00:00"/>
    <x v="2"/>
    <x v="0"/>
    <s v="Night"/>
    <n v="10"/>
    <n v="12"/>
    <s v="Plan A"/>
  </r>
  <r>
    <s v="PAT5843"/>
    <n v="14"/>
    <x v="1"/>
    <x v="2"/>
    <d v="2023-07-12T00:00:00"/>
    <d v="2023-12-15T00:00:00"/>
    <n v="8"/>
    <x v="2"/>
    <n v="1"/>
    <s v="Dr. Patel"/>
    <n v="25125"/>
    <x v="1"/>
    <x v="1"/>
    <x v="1"/>
    <d v="2023-04-12T00:00:00"/>
    <d v="2023-05-12T20:00:00"/>
    <x v="4"/>
    <x v="0"/>
    <s v="Night"/>
    <n v="10"/>
    <n v="10"/>
    <s v="Plan C"/>
  </r>
  <r>
    <s v="PAT5844"/>
    <n v="59"/>
    <x v="0"/>
    <x v="4"/>
    <d v="2024-01-22T00:00:00"/>
    <d v="2024-01-23T00:00:00"/>
    <n v="1"/>
    <x v="0"/>
    <n v="2"/>
    <s v="Dr. Rao"/>
    <n v="22682"/>
    <x v="0"/>
    <x v="1"/>
    <x v="1"/>
    <d v="2024-01-22T00:00:00"/>
    <d v="2024-01-22T04:00:00"/>
    <x v="3"/>
    <x v="0"/>
    <s v="Afternoon"/>
    <n v="10"/>
    <n v="12"/>
    <s v="Plan B"/>
  </r>
  <r>
    <s v="PAT5845"/>
    <n v="56"/>
    <x v="0"/>
    <x v="5"/>
    <d v="2024-11-04T00:00:00"/>
    <d v="2024-04-22T00:00:00"/>
    <n v="11"/>
    <x v="3"/>
    <n v="1"/>
    <s v="Dr. Gupta"/>
    <n v="41870"/>
    <x v="0"/>
    <x v="1"/>
    <x v="0"/>
    <d v="2024-06-04T00:00:00"/>
    <d v="2024-06-04T12:00:00"/>
    <x v="1"/>
    <x v="0"/>
    <s v="Afternoon"/>
    <n v="5"/>
    <n v="12"/>
    <s v="Plan A"/>
  </r>
  <r>
    <s v="PAT5846"/>
    <n v="7"/>
    <x v="1"/>
    <x v="2"/>
    <d v="2023-11-26T00:00:00"/>
    <d v="2023-03-12T00:00:00"/>
    <n v="7"/>
    <x v="0"/>
    <n v="5"/>
    <s v="Dr. Patel"/>
    <n v="22288"/>
    <x v="3"/>
    <x v="1"/>
    <x v="0"/>
    <d v="2023-11-23T00:00:00"/>
    <d v="2023-11-23T15:00:00"/>
    <x v="0"/>
    <x v="0"/>
    <s v="Morning"/>
    <n v="6"/>
    <n v="10"/>
    <s v="Plan A"/>
  </r>
  <r>
    <s v="PAT5847"/>
    <n v="3"/>
    <x v="1"/>
    <x v="5"/>
    <d v="2023-07-13T00:00:00"/>
    <d v="2023-07-19T00:00:00"/>
    <n v="6"/>
    <x v="1"/>
    <n v="3"/>
    <s v="Dr. Gupta"/>
    <n v="40794"/>
    <x v="4"/>
    <x v="1"/>
    <x v="0"/>
    <d v="2023-11-07T00:00:00"/>
    <d v="2023-12-07T10:00:00"/>
    <x v="4"/>
    <x v="0"/>
    <s v="Morning"/>
    <n v="8"/>
    <n v="12"/>
    <s v="Plan C"/>
  </r>
  <r>
    <s v="PAT5848"/>
    <n v="23"/>
    <x v="3"/>
    <x v="5"/>
    <d v="2023-02-09T00:00:00"/>
    <d v="2023-07-09T00:00:00"/>
    <n v="5"/>
    <x v="4"/>
    <n v="4"/>
    <s v="Dr. Patel"/>
    <n v="44477"/>
    <x v="4"/>
    <x v="1"/>
    <x v="1"/>
    <d v="2023-01-09T00:00:00"/>
    <d v="2023-01-09T03:00:00"/>
    <x v="4"/>
    <x v="0"/>
    <s v="Morning"/>
    <n v="7"/>
    <n v="10"/>
    <s v="Plan A"/>
  </r>
  <r>
    <s v="PAT5849"/>
    <n v="18"/>
    <x v="3"/>
    <x v="4"/>
    <d v="2024-01-28T00:00:00"/>
    <d v="2024-09-02T00:00:00"/>
    <n v="12"/>
    <x v="4"/>
    <n v="4"/>
    <s v="Dr. Rao"/>
    <n v="29405"/>
    <x v="0"/>
    <x v="1"/>
    <x v="1"/>
    <d v="2024-01-26T00:00:00"/>
    <d v="2024-01-27T02:00:00"/>
    <x v="0"/>
    <x v="1"/>
    <s v="Afternoon"/>
    <n v="5"/>
    <n v="12"/>
    <s v="Plan C"/>
  </r>
  <r>
    <s v="PAT5850"/>
    <n v="38"/>
    <x v="4"/>
    <x v="2"/>
    <d v="2023-08-28T00:00:00"/>
    <d v="2023-08-29T00:00:00"/>
    <n v="1"/>
    <x v="0"/>
    <n v="3"/>
    <s v="Dr. Sharma"/>
    <n v="43737"/>
    <x v="4"/>
    <x v="1"/>
    <x v="0"/>
    <d v="2023-08-26T00:00:00"/>
    <d v="2023-08-26T05:00:00"/>
    <x v="3"/>
    <x v="0"/>
    <s v="Night"/>
    <n v="10"/>
    <n v="10"/>
    <s v="Plan B"/>
  </r>
  <r>
    <s v="PAT5851"/>
    <n v="15"/>
    <x v="1"/>
    <x v="3"/>
    <d v="2024-02-25T00:00:00"/>
    <d v="2024-02-03T00:00:00"/>
    <n v="6"/>
    <x v="2"/>
    <n v="1"/>
    <s v="Dr. Rao"/>
    <n v="7620"/>
    <x v="0"/>
    <x v="1"/>
    <x v="0"/>
    <d v="2024-02-22T00:00:00"/>
    <d v="2024-02-23T06:00:00"/>
    <x v="3"/>
    <x v="0"/>
    <s v="Morning"/>
    <n v="8"/>
    <n v="8"/>
    <s v="Plan B"/>
  </r>
  <r>
    <s v="PAT5852"/>
    <n v="64"/>
    <x v="0"/>
    <x v="1"/>
    <d v="2023-02-14T00:00:00"/>
    <d v="2023-02-27T00:00:00"/>
    <n v="13"/>
    <x v="2"/>
    <n v="2"/>
    <s v="Dr. Sharma"/>
    <n v="40414"/>
    <x v="1"/>
    <x v="1"/>
    <x v="0"/>
    <d v="2023-02-14T00:00:00"/>
    <d v="2023-02-14T19:00:00"/>
    <x v="2"/>
    <x v="0"/>
    <s v="Afternoon"/>
    <n v="8"/>
    <n v="12"/>
    <s v="Plan A"/>
  </r>
  <r>
    <s v="PAT5853"/>
    <n v="89"/>
    <x v="2"/>
    <x v="4"/>
    <d v="2023-11-22T00:00:00"/>
    <d v="2023-11-24T00:00:00"/>
    <n v="2"/>
    <x v="1"/>
    <n v="1"/>
    <s v="Dr. Sharma"/>
    <n v="42633"/>
    <x v="3"/>
    <x v="1"/>
    <x v="1"/>
    <d v="2023-11-18T00:00:00"/>
    <d v="2023-11-18T20:00:00"/>
    <x v="3"/>
    <x v="0"/>
    <s v="Night"/>
    <n v="9"/>
    <n v="12"/>
    <s v="Plan B"/>
  </r>
  <r>
    <s v="PAT5854"/>
    <n v="28"/>
    <x v="3"/>
    <x v="4"/>
    <d v="2024-04-29T00:00:00"/>
    <d v="2024-05-05T00:00:00"/>
    <n v="6"/>
    <x v="3"/>
    <n v="3"/>
    <s v="Dr. Gupta"/>
    <n v="40057"/>
    <x v="2"/>
    <x v="1"/>
    <x v="0"/>
    <d v="2024-04-28T00:00:00"/>
    <d v="2024-04-28T21:00:00"/>
    <x v="2"/>
    <x v="0"/>
    <s v="Afternoon"/>
    <n v="9"/>
    <n v="12"/>
    <s v="Plan B"/>
  </r>
  <r>
    <s v="PAT5855"/>
    <n v="74"/>
    <x v="2"/>
    <x v="3"/>
    <d v="2024-01-26T00:00:00"/>
    <d v="2024-01-30T00:00:00"/>
    <n v="4"/>
    <x v="0"/>
    <n v="3"/>
    <s v="Dr. Rao"/>
    <n v="45138"/>
    <x v="3"/>
    <x v="1"/>
    <x v="0"/>
    <d v="2024-01-21T00:00:00"/>
    <d v="2024-01-21T06:00:00"/>
    <x v="4"/>
    <x v="0"/>
    <s v="Morning"/>
    <n v="10"/>
    <n v="10"/>
    <s v="Plan A"/>
  </r>
  <r>
    <s v="PAT5856"/>
    <n v="39"/>
    <x v="4"/>
    <x v="2"/>
    <d v="2024-01-31T00:00:00"/>
    <d v="2024-12-02T00:00:00"/>
    <n v="12"/>
    <x v="4"/>
    <n v="2"/>
    <s v="Dr. Patel"/>
    <n v="18854"/>
    <x v="0"/>
    <x v="1"/>
    <x v="0"/>
    <d v="2024-01-30T00:00:00"/>
    <d v="2024-01-31T12:00:00"/>
    <x v="0"/>
    <x v="0"/>
    <s v="Afternoon"/>
    <n v="7"/>
    <n v="12"/>
    <s v="Plan B"/>
  </r>
  <r>
    <s v="PAT5857"/>
    <n v="57"/>
    <x v="0"/>
    <x v="2"/>
    <d v="2023-05-06T00:00:00"/>
    <d v="2023-06-16T00:00:00"/>
    <n v="11"/>
    <x v="0"/>
    <n v="5"/>
    <s v="Dr. Rao"/>
    <n v="14677"/>
    <x v="0"/>
    <x v="0"/>
    <x v="0"/>
    <d v="2023-05-06T00:00:00"/>
    <d v="2023-06-06T06:00:00"/>
    <x v="3"/>
    <x v="0"/>
    <s v="Afternoon"/>
    <n v="10"/>
    <n v="10"/>
    <s v="Plan A"/>
  </r>
  <r>
    <s v="PAT5858"/>
    <n v="17"/>
    <x v="1"/>
    <x v="5"/>
    <d v="2024-05-22T00:00:00"/>
    <d v="2024-02-06T00:00:00"/>
    <n v="11"/>
    <x v="1"/>
    <n v="5"/>
    <s v="Dr. Gupta"/>
    <n v="49111"/>
    <x v="3"/>
    <x v="1"/>
    <x v="1"/>
    <d v="2024-05-20T00:00:00"/>
    <d v="2024-05-20T01:00:00"/>
    <x v="2"/>
    <x v="0"/>
    <s v="Afternoon"/>
    <n v="10"/>
    <n v="12"/>
    <s v="Plan C"/>
  </r>
  <r>
    <s v="PAT5859"/>
    <n v="86"/>
    <x v="2"/>
    <x v="3"/>
    <d v="2023-07-02T00:00:00"/>
    <d v="2023-09-02T00:00:00"/>
    <n v="2"/>
    <x v="5"/>
    <n v="2"/>
    <s v="Dr. Sharma"/>
    <n v="29074"/>
    <x v="0"/>
    <x v="0"/>
    <x v="0"/>
    <d v="2023-03-02T00:00:00"/>
    <d v="2023-04-02T00:00:00"/>
    <x v="4"/>
    <x v="0"/>
    <s v="Afternoon"/>
    <n v="5"/>
    <n v="8"/>
    <s v="Plan C"/>
  </r>
  <r>
    <s v="PAT5860"/>
    <n v="44"/>
    <x v="4"/>
    <x v="3"/>
    <d v="2023-10-05T00:00:00"/>
    <d v="2023-05-23T00:00:00"/>
    <n v="13"/>
    <x v="5"/>
    <n v="5"/>
    <s v="Dr. Gupta"/>
    <n v="22824"/>
    <x v="4"/>
    <x v="0"/>
    <x v="0"/>
    <d v="2023-06-05T00:00:00"/>
    <d v="2023-06-05T13:00:00"/>
    <x v="3"/>
    <x v="0"/>
    <s v="Night"/>
    <n v="6"/>
    <n v="12"/>
    <s v="Plan C"/>
  </r>
  <r>
    <s v="PAT5861"/>
    <n v="25"/>
    <x v="3"/>
    <x v="2"/>
    <d v="2024-05-29T00:00:00"/>
    <d v="2024-08-06T00:00:00"/>
    <n v="10"/>
    <x v="1"/>
    <n v="4"/>
    <s v="Dr. Mehta"/>
    <n v="5765"/>
    <x v="4"/>
    <x v="1"/>
    <x v="0"/>
    <d v="2024-05-25T00:00:00"/>
    <d v="2024-05-25T19:00:00"/>
    <x v="1"/>
    <x v="0"/>
    <s v="Morning"/>
    <n v="10"/>
    <n v="8"/>
    <s v="Plan A"/>
  </r>
  <r>
    <s v="PAT5862"/>
    <n v="17"/>
    <x v="1"/>
    <x v="5"/>
    <d v="2023-06-12T00:00:00"/>
    <d v="2023-12-18T00:00:00"/>
    <n v="12"/>
    <x v="4"/>
    <n v="5"/>
    <s v="Dr. Mehta"/>
    <n v="36615"/>
    <x v="0"/>
    <x v="1"/>
    <x v="0"/>
    <d v="2023-01-12T00:00:00"/>
    <d v="2023-02-12T13:00:00"/>
    <x v="4"/>
    <x v="0"/>
    <s v="Night"/>
    <n v="7"/>
    <n v="10"/>
    <s v="Plan A"/>
  </r>
  <r>
    <s v="PAT5863"/>
    <n v="13"/>
    <x v="1"/>
    <x v="4"/>
    <d v="2023-04-13T00:00:00"/>
    <d v="2023-04-26T00:00:00"/>
    <n v="13"/>
    <x v="1"/>
    <n v="5"/>
    <s v="Dr. Patel"/>
    <n v="41860"/>
    <x v="0"/>
    <x v="0"/>
    <x v="0"/>
    <d v="2023-10-04T00:00:00"/>
    <d v="2023-10-04T20:00:00"/>
    <x v="3"/>
    <x v="0"/>
    <s v="Afternoon"/>
    <n v="8"/>
    <n v="8"/>
    <s v="Plan B"/>
  </r>
  <r>
    <s v="PAT5864"/>
    <n v="84"/>
    <x v="2"/>
    <x v="0"/>
    <d v="2024-03-26T00:00:00"/>
    <d v="2024-01-04T00:00:00"/>
    <n v="6"/>
    <x v="4"/>
    <n v="5"/>
    <s v="Dr. Gupta"/>
    <n v="17975"/>
    <x v="4"/>
    <x v="0"/>
    <x v="0"/>
    <d v="2024-03-24T00:00:00"/>
    <d v="2024-03-26T00:00:00"/>
    <x v="4"/>
    <x v="0"/>
    <s v="Afternoon"/>
    <n v="8"/>
    <n v="12"/>
    <s v="Plan B"/>
  </r>
  <r>
    <s v="PAT5865"/>
    <n v="25"/>
    <x v="3"/>
    <x v="1"/>
    <d v="2023-04-13T00:00:00"/>
    <d v="2023-04-16T00:00:00"/>
    <n v="3"/>
    <x v="2"/>
    <n v="4"/>
    <s v="Dr. Patel"/>
    <n v="14341"/>
    <x v="0"/>
    <x v="1"/>
    <x v="1"/>
    <d v="2023-12-04T00:00:00"/>
    <d v="2023-04-13T16:00:00"/>
    <x v="0"/>
    <x v="1"/>
    <s v="Morning"/>
    <n v="11"/>
    <n v="12"/>
    <s v="Plan B"/>
  </r>
  <r>
    <s v="PAT5866"/>
    <n v="68"/>
    <x v="2"/>
    <x v="4"/>
    <d v="2024-06-22T00:00:00"/>
    <d v="2024-06-23T00:00:00"/>
    <n v="1"/>
    <x v="1"/>
    <n v="5"/>
    <s v="Dr. Patel"/>
    <n v="33141"/>
    <x v="0"/>
    <x v="0"/>
    <x v="0"/>
    <d v="2024-06-21T00:00:00"/>
    <d v="2024-06-21T16:00:00"/>
    <x v="0"/>
    <x v="0"/>
    <s v="Morning"/>
    <n v="4"/>
    <n v="10"/>
    <s v="Plan B"/>
  </r>
  <r>
    <s v="PAT5867"/>
    <n v="10"/>
    <x v="1"/>
    <x v="2"/>
    <d v="2024-12-04T00:00:00"/>
    <d v="2024-04-18T00:00:00"/>
    <n v="6"/>
    <x v="4"/>
    <n v="4"/>
    <s v="Dr. Mehta"/>
    <n v="17334"/>
    <x v="3"/>
    <x v="0"/>
    <x v="0"/>
    <d v="2024-10-04T00:00:00"/>
    <d v="2024-11-04T06:00:00"/>
    <x v="0"/>
    <x v="0"/>
    <s v="Night"/>
    <n v="10"/>
    <n v="12"/>
    <s v="Plan B"/>
  </r>
  <r>
    <s v="PAT5868"/>
    <n v="67"/>
    <x v="2"/>
    <x v="1"/>
    <d v="2023-01-16T00:00:00"/>
    <d v="2023-01-25T00:00:00"/>
    <n v="9"/>
    <x v="1"/>
    <n v="2"/>
    <s v="Dr. Patel"/>
    <n v="20835"/>
    <x v="2"/>
    <x v="1"/>
    <x v="0"/>
    <d v="2023-01-15T00:00:00"/>
    <d v="2023-01-16T00:00:00"/>
    <x v="1"/>
    <x v="0"/>
    <s v="Night"/>
    <n v="11"/>
    <n v="12"/>
    <s v="Plan A"/>
  </r>
  <r>
    <s v="PAT5869"/>
    <n v="18"/>
    <x v="3"/>
    <x v="0"/>
    <d v="2023-05-28T00:00:00"/>
    <d v="2023-03-06T00:00:00"/>
    <n v="6"/>
    <x v="1"/>
    <n v="1"/>
    <s v="Dr. Mehta"/>
    <n v="31548"/>
    <x v="4"/>
    <x v="0"/>
    <x v="0"/>
    <d v="2023-05-25T00:00:00"/>
    <d v="2023-05-26T14:00:00"/>
    <x v="0"/>
    <x v="0"/>
    <s v="Morning"/>
    <n v="11"/>
    <n v="10"/>
    <s v="Plan A"/>
  </r>
  <r>
    <s v="PAT5870"/>
    <n v="86"/>
    <x v="2"/>
    <x v="0"/>
    <d v="2024-02-24T00:00:00"/>
    <d v="2024-09-03T00:00:00"/>
    <n v="14"/>
    <x v="4"/>
    <n v="2"/>
    <s v="Dr. Sharma"/>
    <n v="40434"/>
    <x v="3"/>
    <x v="1"/>
    <x v="1"/>
    <d v="2024-02-20T00:00:00"/>
    <d v="2024-02-21T08:00:00"/>
    <x v="1"/>
    <x v="0"/>
    <s v="Night"/>
    <n v="5"/>
    <n v="10"/>
    <s v="Plan C"/>
  </r>
  <r>
    <s v="PAT5871"/>
    <n v="34"/>
    <x v="3"/>
    <x v="5"/>
    <d v="2023-08-06T00:00:00"/>
    <d v="2023-06-19T00:00:00"/>
    <n v="11"/>
    <x v="4"/>
    <n v="1"/>
    <s v="Dr. Gupta"/>
    <n v="30039"/>
    <x v="2"/>
    <x v="1"/>
    <x v="0"/>
    <d v="2023-07-06T00:00:00"/>
    <d v="2023-07-06T13:00:00"/>
    <x v="0"/>
    <x v="1"/>
    <s v="Afternoon"/>
    <n v="4"/>
    <n v="8"/>
    <s v="Plan C"/>
  </r>
  <r>
    <s v="PAT5872"/>
    <n v="8"/>
    <x v="1"/>
    <x v="1"/>
    <d v="2023-03-18T00:00:00"/>
    <d v="2023-03-21T00:00:00"/>
    <n v="3"/>
    <x v="3"/>
    <n v="2"/>
    <s v="Dr. Patel"/>
    <n v="37530"/>
    <x v="0"/>
    <x v="0"/>
    <x v="0"/>
    <d v="2023-03-15T00:00:00"/>
    <d v="2023-03-16T23:00:00"/>
    <x v="4"/>
    <x v="0"/>
    <s v="Afternoon"/>
    <n v="9"/>
    <n v="10"/>
    <s v="Plan C"/>
  </r>
  <r>
    <s v="PAT5873"/>
    <n v="40"/>
    <x v="4"/>
    <x v="5"/>
    <d v="2024-04-25T00:00:00"/>
    <d v="2024-09-05T00:00:00"/>
    <n v="14"/>
    <x v="1"/>
    <n v="1"/>
    <s v="Dr. Mehta"/>
    <n v="43736"/>
    <x v="0"/>
    <x v="0"/>
    <x v="1"/>
    <d v="2024-04-21T00:00:00"/>
    <d v="2024-04-22T11:00:00"/>
    <x v="3"/>
    <x v="0"/>
    <s v="Morning"/>
    <n v="6"/>
    <n v="12"/>
    <s v="Plan C"/>
  </r>
  <r>
    <s v="PAT5874"/>
    <n v="83"/>
    <x v="2"/>
    <x v="4"/>
    <d v="2023-09-29T00:00:00"/>
    <d v="2023-12-10T00:00:00"/>
    <n v="13"/>
    <x v="5"/>
    <n v="1"/>
    <s v="Dr. Rao"/>
    <n v="45409"/>
    <x v="3"/>
    <x v="1"/>
    <x v="0"/>
    <d v="2023-09-24T00:00:00"/>
    <d v="2023-09-24T16:00:00"/>
    <x v="3"/>
    <x v="0"/>
    <s v="Night"/>
    <n v="7"/>
    <n v="10"/>
    <s v="Plan A"/>
  </r>
  <r>
    <s v="PAT5875"/>
    <n v="42"/>
    <x v="4"/>
    <x v="3"/>
    <d v="2023-12-13T00:00:00"/>
    <d v="2023-12-24T00:00:00"/>
    <n v="11"/>
    <x v="1"/>
    <n v="3"/>
    <s v="Dr. Patel"/>
    <n v="23565"/>
    <x v="0"/>
    <x v="1"/>
    <x v="1"/>
    <d v="2023-08-12T00:00:00"/>
    <d v="2023-08-12T10:00:00"/>
    <x v="0"/>
    <x v="0"/>
    <s v="Afternoon"/>
    <n v="10"/>
    <n v="12"/>
    <s v="Plan A"/>
  </r>
  <r>
    <s v="PAT5876"/>
    <n v="41"/>
    <x v="4"/>
    <x v="3"/>
    <d v="2024-12-02T00:00:00"/>
    <d v="2024-02-20T00:00:00"/>
    <n v="8"/>
    <x v="1"/>
    <n v="1"/>
    <s v="Dr. Sharma"/>
    <n v="14834"/>
    <x v="1"/>
    <x v="1"/>
    <x v="0"/>
    <d v="2024-10-02T00:00:00"/>
    <d v="2024-10-02T01:00:00"/>
    <x v="3"/>
    <x v="0"/>
    <s v="Morning"/>
    <n v="8"/>
    <n v="8"/>
    <s v="Plan A"/>
  </r>
  <r>
    <s v="PAT5877"/>
    <n v="6"/>
    <x v="1"/>
    <x v="3"/>
    <d v="2023-03-24T00:00:00"/>
    <d v="2023-05-04T00:00:00"/>
    <n v="12"/>
    <x v="4"/>
    <n v="1"/>
    <s v="Dr. Sharma"/>
    <n v="41656"/>
    <x v="3"/>
    <x v="0"/>
    <x v="0"/>
    <d v="2023-03-22T00:00:00"/>
    <d v="2023-03-23T03:00:00"/>
    <x v="0"/>
    <x v="0"/>
    <s v="Night"/>
    <n v="5"/>
    <n v="10"/>
    <s v="Plan B"/>
  </r>
  <r>
    <s v="PAT5878"/>
    <n v="52"/>
    <x v="0"/>
    <x v="1"/>
    <d v="2023-03-12T00:00:00"/>
    <d v="2023-11-12T00:00:00"/>
    <n v="8"/>
    <x v="1"/>
    <n v="3"/>
    <s v="Dr. Rao"/>
    <n v="5840"/>
    <x v="2"/>
    <x v="0"/>
    <x v="0"/>
    <d v="2023-11-30T00:00:00"/>
    <d v="2023-11-30T02:00:00"/>
    <x v="0"/>
    <x v="0"/>
    <s v="Afternoon"/>
    <n v="8"/>
    <n v="12"/>
    <s v="Plan B"/>
  </r>
  <r>
    <s v="PAT5879"/>
    <n v="26"/>
    <x v="3"/>
    <x v="3"/>
    <d v="2024-01-25T00:00:00"/>
    <d v="2024-05-02T00:00:00"/>
    <n v="11"/>
    <x v="0"/>
    <n v="5"/>
    <s v="Dr. Mehta"/>
    <n v="18873"/>
    <x v="3"/>
    <x v="0"/>
    <x v="0"/>
    <d v="2024-01-20T00:00:00"/>
    <d v="2024-01-20T15:00:00"/>
    <x v="2"/>
    <x v="0"/>
    <s v="Night"/>
    <n v="10"/>
    <n v="10"/>
    <s v="Plan C"/>
  </r>
  <r>
    <s v="PAT5880"/>
    <n v="64"/>
    <x v="0"/>
    <x v="4"/>
    <d v="2023-11-21T00:00:00"/>
    <d v="2023-11-24T00:00:00"/>
    <n v="3"/>
    <x v="1"/>
    <n v="5"/>
    <s v="Dr. Patel"/>
    <n v="36568"/>
    <x v="4"/>
    <x v="0"/>
    <x v="0"/>
    <d v="2023-11-16T00:00:00"/>
    <d v="2023-11-17T11:00:00"/>
    <x v="2"/>
    <x v="0"/>
    <s v="Night"/>
    <n v="9"/>
    <n v="10"/>
    <s v="Plan B"/>
  </r>
  <r>
    <s v="PAT5881"/>
    <n v="59"/>
    <x v="0"/>
    <x v="5"/>
    <d v="2024-05-14T00:00:00"/>
    <d v="2024-05-27T00:00:00"/>
    <n v="13"/>
    <x v="0"/>
    <n v="3"/>
    <s v="Dr. Mehta"/>
    <n v="15846"/>
    <x v="3"/>
    <x v="1"/>
    <x v="0"/>
    <d v="2024-09-05T00:00:00"/>
    <d v="2024-09-05T23:00:00"/>
    <x v="2"/>
    <x v="0"/>
    <s v="Night"/>
    <n v="4"/>
    <n v="10"/>
    <s v="Plan A"/>
  </r>
  <r>
    <s v="PAT5882"/>
    <n v="56"/>
    <x v="0"/>
    <x v="1"/>
    <d v="2023-06-02T00:00:00"/>
    <d v="2023-09-02T00:00:00"/>
    <n v="3"/>
    <x v="5"/>
    <n v="4"/>
    <s v="Dr. Sharma"/>
    <n v="10899"/>
    <x v="0"/>
    <x v="1"/>
    <x v="0"/>
    <d v="2023-03-02T00:00:00"/>
    <d v="2023-04-02T17:00:00"/>
    <x v="1"/>
    <x v="0"/>
    <s v="Morning"/>
    <n v="10"/>
    <n v="10"/>
    <s v="Plan C"/>
  </r>
  <r>
    <s v="PAT5883"/>
    <n v="59"/>
    <x v="0"/>
    <x v="5"/>
    <d v="2023-12-03T00:00:00"/>
    <d v="2023-03-14T00:00:00"/>
    <n v="2"/>
    <x v="4"/>
    <n v="1"/>
    <s v="Dr. Mehta"/>
    <n v="25502"/>
    <x v="0"/>
    <x v="1"/>
    <x v="0"/>
    <d v="2023-09-03T00:00:00"/>
    <d v="2023-10-03T21:00:00"/>
    <x v="2"/>
    <x v="0"/>
    <s v="Afternoon"/>
    <n v="4"/>
    <n v="8"/>
    <s v="Plan C"/>
  </r>
  <r>
    <s v="PAT5884"/>
    <n v="70"/>
    <x v="2"/>
    <x v="1"/>
    <d v="2023-08-29T00:00:00"/>
    <d v="2023-10-09T00:00:00"/>
    <n v="12"/>
    <x v="1"/>
    <n v="1"/>
    <s v="Dr. Sharma"/>
    <n v="5565"/>
    <x v="1"/>
    <x v="0"/>
    <x v="0"/>
    <d v="2023-08-28T00:00:00"/>
    <d v="2023-08-28T01:00:00"/>
    <x v="0"/>
    <x v="0"/>
    <s v="Morning"/>
    <n v="7"/>
    <n v="12"/>
    <s v="Plan B"/>
  </r>
  <r>
    <s v="PAT5885"/>
    <n v="33"/>
    <x v="3"/>
    <x v="5"/>
    <d v="2023-10-22T00:00:00"/>
    <d v="2023-04-11T00:00:00"/>
    <n v="13"/>
    <x v="0"/>
    <n v="3"/>
    <s v="Dr. Mehta"/>
    <n v="43773"/>
    <x v="1"/>
    <x v="1"/>
    <x v="1"/>
    <d v="2023-10-17T00:00:00"/>
    <d v="2023-10-17T22:00:00"/>
    <x v="4"/>
    <x v="0"/>
    <s v="Afternoon"/>
    <n v="5"/>
    <n v="10"/>
    <s v="Plan C"/>
  </r>
  <r>
    <s v="PAT5886"/>
    <n v="53"/>
    <x v="0"/>
    <x v="0"/>
    <d v="2023-08-21T00:00:00"/>
    <d v="2023-08-29T00:00:00"/>
    <n v="8"/>
    <x v="0"/>
    <n v="3"/>
    <s v="Dr. Rao"/>
    <n v="46924"/>
    <x v="1"/>
    <x v="1"/>
    <x v="0"/>
    <d v="2023-08-19T00:00:00"/>
    <d v="2023-08-19T01:00:00"/>
    <x v="2"/>
    <x v="0"/>
    <s v="Afternoon"/>
    <n v="9"/>
    <n v="12"/>
    <s v="Plan B"/>
  </r>
  <r>
    <s v="PAT5887"/>
    <n v="22"/>
    <x v="3"/>
    <x v="5"/>
    <d v="2023-03-04T00:00:00"/>
    <d v="2023-04-04T00:00:00"/>
    <n v="1"/>
    <x v="0"/>
    <n v="4"/>
    <s v="Dr. Gupta"/>
    <n v="48242"/>
    <x v="2"/>
    <x v="1"/>
    <x v="1"/>
    <d v="2023-02-04T00:00:00"/>
    <d v="2023-03-04T19:00:00"/>
    <x v="2"/>
    <x v="0"/>
    <s v="Morning"/>
    <n v="5"/>
    <n v="8"/>
    <s v="Plan B"/>
  </r>
  <r>
    <s v="PAT5888"/>
    <n v="21"/>
    <x v="3"/>
    <x v="3"/>
    <d v="2024-03-20T00:00:00"/>
    <d v="2024-03-25T00:00:00"/>
    <n v="5"/>
    <x v="2"/>
    <n v="5"/>
    <s v="Dr. Rao"/>
    <n v="14187"/>
    <x v="1"/>
    <x v="1"/>
    <x v="0"/>
    <d v="2024-03-19T00:00:00"/>
    <d v="2024-03-20T01:00:00"/>
    <x v="4"/>
    <x v="0"/>
    <s v="Morning"/>
    <n v="7"/>
    <n v="12"/>
    <s v="Plan C"/>
  </r>
  <r>
    <s v="PAT5889"/>
    <n v="70"/>
    <x v="2"/>
    <x v="0"/>
    <d v="2023-11-04T00:00:00"/>
    <d v="2023-04-15T00:00:00"/>
    <n v="4"/>
    <x v="3"/>
    <n v="2"/>
    <s v="Dr. Rao"/>
    <n v="12226"/>
    <x v="2"/>
    <x v="1"/>
    <x v="0"/>
    <d v="2023-06-04T00:00:00"/>
    <d v="2023-08-04T00:00:00"/>
    <x v="0"/>
    <x v="0"/>
    <s v="Afternoon"/>
    <n v="9"/>
    <n v="12"/>
    <s v="Plan B"/>
  </r>
  <r>
    <s v="PAT5890"/>
    <n v="70"/>
    <x v="2"/>
    <x v="5"/>
    <d v="2023-04-13T00:00:00"/>
    <d v="2023-04-14T00:00:00"/>
    <n v="1"/>
    <x v="5"/>
    <n v="5"/>
    <s v="Dr. Gupta"/>
    <n v="47147"/>
    <x v="1"/>
    <x v="1"/>
    <x v="0"/>
    <d v="2023-09-04T00:00:00"/>
    <d v="2023-10-04T23:00:00"/>
    <x v="1"/>
    <x v="0"/>
    <s v="Afternoon"/>
    <n v="11"/>
    <n v="8"/>
    <s v="Plan B"/>
  </r>
  <r>
    <s v="PAT5891"/>
    <n v="4"/>
    <x v="1"/>
    <x v="1"/>
    <d v="2024-03-30T00:00:00"/>
    <d v="2024-12-04T00:00:00"/>
    <n v="13"/>
    <x v="1"/>
    <n v="1"/>
    <s v="Dr. Gupta"/>
    <n v="43658"/>
    <x v="2"/>
    <x v="1"/>
    <x v="0"/>
    <d v="2024-03-27T00:00:00"/>
    <d v="2024-03-27T20:00:00"/>
    <x v="2"/>
    <x v="0"/>
    <s v="Afternoon"/>
    <n v="9"/>
    <n v="10"/>
    <s v="Plan B"/>
  </r>
  <r>
    <s v="PAT5892"/>
    <n v="75"/>
    <x v="2"/>
    <x v="1"/>
    <d v="2023-06-20T00:00:00"/>
    <d v="2023-06-24T00:00:00"/>
    <n v="4"/>
    <x v="2"/>
    <n v="3"/>
    <s v="Dr. Patel"/>
    <n v="9311"/>
    <x v="3"/>
    <x v="1"/>
    <x v="0"/>
    <d v="2023-06-19T00:00:00"/>
    <d v="2023-06-19T07:00:00"/>
    <x v="4"/>
    <x v="0"/>
    <s v="Night"/>
    <n v="4"/>
    <n v="12"/>
    <s v="Plan B"/>
  </r>
  <r>
    <s v="PAT5893"/>
    <n v="62"/>
    <x v="0"/>
    <x v="1"/>
    <d v="2023-03-11T00:00:00"/>
    <d v="2023-11-18T00:00:00"/>
    <n v="15"/>
    <x v="1"/>
    <n v="4"/>
    <s v="Dr. Patel"/>
    <n v="49214"/>
    <x v="3"/>
    <x v="1"/>
    <x v="0"/>
    <d v="2023-10-30T00:00:00"/>
    <d v="2023-10-30T14:00:00"/>
    <x v="0"/>
    <x v="0"/>
    <s v="Afternoon"/>
    <n v="4"/>
    <n v="12"/>
    <s v="Plan C"/>
  </r>
  <r>
    <s v="PAT5894"/>
    <n v="62"/>
    <x v="0"/>
    <x v="2"/>
    <d v="2023-01-30T00:00:00"/>
    <d v="2023-01-31T00:00:00"/>
    <n v="1"/>
    <x v="1"/>
    <n v="5"/>
    <s v="Dr. Rao"/>
    <n v="46616"/>
    <x v="0"/>
    <x v="1"/>
    <x v="1"/>
    <d v="2023-01-25T00:00:00"/>
    <d v="2023-01-26T10:00:00"/>
    <x v="3"/>
    <x v="0"/>
    <s v="Morning"/>
    <n v="4"/>
    <n v="10"/>
    <s v="Plan A"/>
  </r>
  <r>
    <s v="PAT5895"/>
    <n v="24"/>
    <x v="3"/>
    <x v="4"/>
    <d v="2023-02-17T00:00:00"/>
    <d v="2023-02-23T00:00:00"/>
    <n v="6"/>
    <x v="4"/>
    <n v="4"/>
    <s v="Dr. Rao"/>
    <n v="30689"/>
    <x v="2"/>
    <x v="1"/>
    <x v="1"/>
    <d v="2023-02-17T00:00:00"/>
    <d v="2023-02-17T16:00:00"/>
    <x v="1"/>
    <x v="0"/>
    <s v="Morning"/>
    <n v="8"/>
    <n v="10"/>
    <s v="Plan A"/>
  </r>
  <r>
    <s v="PAT5896"/>
    <n v="55"/>
    <x v="0"/>
    <x v="1"/>
    <d v="2023-11-29T00:00:00"/>
    <d v="2023-12-14T00:00:00"/>
    <n v="15"/>
    <x v="4"/>
    <n v="5"/>
    <s v="Dr. Sharma"/>
    <n v="11083"/>
    <x v="4"/>
    <x v="0"/>
    <x v="1"/>
    <d v="2023-11-25T00:00:00"/>
    <d v="2023-11-26T03:00:00"/>
    <x v="4"/>
    <x v="0"/>
    <s v="Morning"/>
    <n v="11"/>
    <n v="12"/>
    <s v="Plan B"/>
  </r>
  <r>
    <s v="PAT5897"/>
    <n v="9"/>
    <x v="1"/>
    <x v="0"/>
    <d v="2023-02-27T00:00:00"/>
    <d v="2023-04-03T00:00:00"/>
    <n v="5"/>
    <x v="4"/>
    <n v="1"/>
    <s v="Dr. Sharma"/>
    <n v="17598"/>
    <x v="0"/>
    <x v="1"/>
    <x v="0"/>
    <d v="2023-02-27T00:00:00"/>
    <d v="2023-02-28T08:00:00"/>
    <x v="4"/>
    <x v="0"/>
    <s v="Afternoon"/>
    <n v="6"/>
    <n v="8"/>
    <s v="Plan B"/>
  </r>
  <r>
    <s v="PAT5898"/>
    <n v="3"/>
    <x v="1"/>
    <x v="1"/>
    <d v="2023-10-28T00:00:00"/>
    <d v="2023-06-11T00:00:00"/>
    <n v="9"/>
    <x v="2"/>
    <n v="2"/>
    <s v="Dr. Patel"/>
    <n v="21940"/>
    <x v="3"/>
    <x v="0"/>
    <x v="1"/>
    <d v="2023-10-28T00:00:00"/>
    <d v="2023-10-28T04:00:00"/>
    <x v="4"/>
    <x v="0"/>
    <s v="Afternoon"/>
    <n v="10"/>
    <n v="10"/>
    <s v="Plan B"/>
  </r>
  <r>
    <s v="PAT5899"/>
    <n v="31"/>
    <x v="3"/>
    <x v="2"/>
    <d v="2024-03-01T00:00:00"/>
    <d v="2024-10-01T00:00:00"/>
    <n v="7"/>
    <x v="1"/>
    <n v="4"/>
    <s v="Dr. Patel"/>
    <n v="31880"/>
    <x v="2"/>
    <x v="0"/>
    <x v="0"/>
    <d v="2023-12-29T00:00:00"/>
    <d v="2023-12-29T10:00:00"/>
    <x v="2"/>
    <x v="0"/>
    <s v="Night"/>
    <n v="4"/>
    <n v="10"/>
    <s v="Plan A"/>
  </r>
  <r>
    <s v="PAT5900"/>
    <n v="40"/>
    <x v="4"/>
    <x v="3"/>
    <d v="2024-01-19T00:00:00"/>
    <d v="2024-02-02T00:00:00"/>
    <n v="14"/>
    <x v="3"/>
    <n v="4"/>
    <s v="Dr. Sharma"/>
    <n v="7580"/>
    <x v="1"/>
    <x v="1"/>
    <x v="0"/>
    <d v="2024-01-19T00:00:00"/>
    <d v="2024-01-20T22:00:00"/>
    <x v="3"/>
    <x v="0"/>
    <s v="Night"/>
    <n v="6"/>
    <n v="8"/>
    <s v="Plan B"/>
  </r>
  <r>
    <s v="PAT5901"/>
    <n v="36"/>
    <x v="4"/>
    <x v="0"/>
    <d v="2024-03-17T00:00:00"/>
    <d v="2024-03-26T00:00:00"/>
    <n v="9"/>
    <x v="5"/>
    <n v="2"/>
    <s v="Dr. Sharma"/>
    <n v="47321"/>
    <x v="4"/>
    <x v="1"/>
    <x v="1"/>
    <d v="2024-03-17T00:00:00"/>
    <d v="2024-03-17T18:00:00"/>
    <x v="1"/>
    <x v="0"/>
    <s v="Morning"/>
    <n v="6"/>
    <n v="12"/>
    <s v="Plan C"/>
  </r>
  <r>
    <s v="PAT5902"/>
    <n v="24"/>
    <x v="3"/>
    <x v="2"/>
    <d v="2023-05-30T00:00:00"/>
    <d v="2023-07-06T00:00:00"/>
    <n v="8"/>
    <x v="4"/>
    <n v="4"/>
    <s v="Dr. Mehta"/>
    <n v="14386"/>
    <x v="3"/>
    <x v="0"/>
    <x v="0"/>
    <d v="2023-05-27T00:00:00"/>
    <d v="2023-05-27T06:00:00"/>
    <x v="0"/>
    <x v="1"/>
    <s v="Night"/>
    <n v="5"/>
    <n v="10"/>
    <s v="Plan C"/>
  </r>
  <r>
    <s v="PAT5903"/>
    <n v="6"/>
    <x v="1"/>
    <x v="3"/>
    <d v="2023-08-09T00:00:00"/>
    <d v="2023-09-13T00:00:00"/>
    <n v="5"/>
    <x v="4"/>
    <n v="4"/>
    <s v="Dr. Mehta"/>
    <n v="24522"/>
    <x v="0"/>
    <x v="0"/>
    <x v="0"/>
    <d v="2023-07-09T00:00:00"/>
    <d v="2023-07-09T03:00:00"/>
    <x v="0"/>
    <x v="0"/>
    <s v="Night"/>
    <n v="7"/>
    <n v="12"/>
    <s v="Plan C"/>
  </r>
  <r>
    <s v="PAT5904"/>
    <n v="66"/>
    <x v="2"/>
    <x v="0"/>
    <d v="2024-02-26T00:00:00"/>
    <d v="2024-02-27T00:00:00"/>
    <n v="1"/>
    <x v="1"/>
    <n v="5"/>
    <s v="Dr. Sharma"/>
    <n v="31224"/>
    <x v="2"/>
    <x v="0"/>
    <x v="1"/>
    <d v="2024-02-21T00:00:00"/>
    <d v="2024-02-21T15:00:00"/>
    <x v="3"/>
    <x v="0"/>
    <s v="Morning"/>
    <n v="8"/>
    <n v="12"/>
    <s v="Plan A"/>
  </r>
  <r>
    <s v="PAT5905"/>
    <n v="84"/>
    <x v="2"/>
    <x v="5"/>
    <d v="2023-04-07T00:00:00"/>
    <d v="2023-07-17T00:00:00"/>
    <n v="13"/>
    <x v="1"/>
    <n v="5"/>
    <s v="Dr. Mehta"/>
    <n v="19635"/>
    <x v="4"/>
    <x v="0"/>
    <x v="0"/>
    <d v="2023-03-07T00:00:00"/>
    <d v="2023-04-07T10:00:00"/>
    <x v="4"/>
    <x v="0"/>
    <s v="Afternoon"/>
    <n v="6"/>
    <n v="12"/>
    <s v="Plan B"/>
  </r>
  <r>
    <s v="PAT5906"/>
    <n v="75"/>
    <x v="2"/>
    <x v="4"/>
    <d v="2023-06-24T00:00:00"/>
    <d v="2023-05-07T00:00:00"/>
    <n v="11"/>
    <x v="2"/>
    <n v="2"/>
    <s v="Dr. Gupta"/>
    <n v="5671"/>
    <x v="2"/>
    <x v="1"/>
    <x v="0"/>
    <d v="2023-06-24T00:00:00"/>
    <d v="2023-06-25T03:00:00"/>
    <x v="4"/>
    <x v="0"/>
    <s v="Night"/>
    <n v="10"/>
    <n v="8"/>
    <s v="Plan B"/>
  </r>
  <r>
    <s v="PAT5907"/>
    <n v="4"/>
    <x v="1"/>
    <x v="4"/>
    <d v="2023-06-29T00:00:00"/>
    <d v="2023-03-07T00:00:00"/>
    <n v="4"/>
    <x v="2"/>
    <n v="1"/>
    <s v="Dr. Patel"/>
    <n v="38545"/>
    <x v="1"/>
    <x v="1"/>
    <x v="0"/>
    <d v="2023-06-24T00:00:00"/>
    <d v="2023-06-25T21:00:00"/>
    <x v="4"/>
    <x v="0"/>
    <s v="Afternoon"/>
    <n v="8"/>
    <n v="12"/>
    <s v="Plan B"/>
  </r>
  <r>
    <s v="PAT5908"/>
    <n v="79"/>
    <x v="2"/>
    <x v="2"/>
    <d v="2023-03-22T00:00:00"/>
    <d v="2023-03-27T00:00:00"/>
    <n v="5"/>
    <x v="4"/>
    <n v="4"/>
    <s v="Dr. Patel"/>
    <n v="31855"/>
    <x v="0"/>
    <x v="1"/>
    <x v="0"/>
    <d v="2023-03-21T00:00:00"/>
    <d v="2023-03-22T00:00:00"/>
    <x v="4"/>
    <x v="0"/>
    <s v="Morning"/>
    <n v="5"/>
    <n v="12"/>
    <s v="Plan A"/>
  </r>
  <r>
    <s v="PAT5909"/>
    <n v="6"/>
    <x v="1"/>
    <x v="3"/>
    <d v="2024-01-27T00:00:00"/>
    <d v="2024-02-02T00:00:00"/>
    <n v="6"/>
    <x v="1"/>
    <n v="1"/>
    <s v="Dr. Sharma"/>
    <n v="40790"/>
    <x v="2"/>
    <x v="1"/>
    <x v="0"/>
    <d v="2024-01-27T00:00:00"/>
    <d v="2024-01-28T06:00:00"/>
    <x v="4"/>
    <x v="0"/>
    <s v="Morning"/>
    <n v="4"/>
    <n v="10"/>
    <s v="Plan A"/>
  </r>
  <r>
    <s v="PAT5910"/>
    <n v="51"/>
    <x v="0"/>
    <x v="4"/>
    <d v="2023-04-09T00:00:00"/>
    <d v="2023-09-18T00:00:00"/>
    <n v="14"/>
    <x v="3"/>
    <n v="2"/>
    <s v="Dr. Rao"/>
    <n v="19260"/>
    <x v="3"/>
    <x v="1"/>
    <x v="0"/>
    <d v="2023-03-09T00:00:00"/>
    <d v="2023-05-09T00:00:00"/>
    <x v="3"/>
    <x v="0"/>
    <s v="Night"/>
    <n v="9"/>
    <n v="10"/>
    <s v="Plan A"/>
  </r>
  <r>
    <s v="PAT5911"/>
    <n v="62"/>
    <x v="0"/>
    <x v="3"/>
    <d v="2024-05-24T00:00:00"/>
    <d v="2024-06-06T00:00:00"/>
    <n v="13"/>
    <x v="5"/>
    <n v="2"/>
    <s v="Dr. Sharma"/>
    <n v="6074"/>
    <x v="0"/>
    <x v="0"/>
    <x v="1"/>
    <d v="2024-05-20T00:00:00"/>
    <d v="2024-05-20T06:00:00"/>
    <x v="2"/>
    <x v="0"/>
    <s v="Morning"/>
    <n v="6"/>
    <n v="8"/>
    <s v="Plan A"/>
  </r>
  <r>
    <s v="PAT5912"/>
    <n v="57"/>
    <x v="0"/>
    <x v="3"/>
    <d v="2023-05-27T00:00:00"/>
    <d v="2023-05-28T00:00:00"/>
    <n v="1"/>
    <x v="1"/>
    <n v="5"/>
    <s v="Dr. Mehta"/>
    <n v="47676"/>
    <x v="3"/>
    <x v="1"/>
    <x v="0"/>
    <d v="2023-05-24T00:00:00"/>
    <d v="2023-05-25T14:00:00"/>
    <x v="1"/>
    <x v="0"/>
    <s v="Morning"/>
    <n v="7"/>
    <n v="8"/>
    <s v="Plan C"/>
  </r>
  <r>
    <s v="PAT5913"/>
    <n v="66"/>
    <x v="2"/>
    <x v="2"/>
    <d v="2023-08-26T00:00:00"/>
    <d v="2023-09-09T00:00:00"/>
    <n v="14"/>
    <x v="1"/>
    <n v="4"/>
    <s v="Dr. Rao"/>
    <n v="14475"/>
    <x v="2"/>
    <x v="1"/>
    <x v="0"/>
    <d v="2023-08-24T00:00:00"/>
    <d v="2023-08-24T07:00:00"/>
    <x v="4"/>
    <x v="0"/>
    <s v="Morning"/>
    <n v="9"/>
    <n v="10"/>
    <s v="Plan A"/>
  </r>
  <r>
    <s v="PAT5914"/>
    <n v="79"/>
    <x v="2"/>
    <x v="2"/>
    <d v="2024-04-17T00:00:00"/>
    <d v="2024-04-28T00:00:00"/>
    <n v="11"/>
    <x v="0"/>
    <n v="3"/>
    <s v="Dr. Mehta"/>
    <n v="17878"/>
    <x v="0"/>
    <x v="0"/>
    <x v="1"/>
    <d v="2024-04-17T00:00:00"/>
    <d v="2024-04-18T09:00:00"/>
    <x v="2"/>
    <x v="0"/>
    <s v="Night"/>
    <n v="5"/>
    <n v="10"/>
    <s v="Plan A"/>
  </r>
  <r>
    <s v="PAT5915"/>
    <n v="75"/>
    <x v="2"/>
    <x v="2"/>
    <d v="2023-09-18T00:00:00"/>
    <d v="2023-09-24T00:00:00"/>
    <n v="6"/>
    <x v="2"/>
    <n v="2"/>
    <s v="Dr. Gupta"/>
    <n v="20120"/>
    <x v="3"/>
    <x v="0"/>
    <x v="0"/>
    <d v="2023-09-14T00:00:00"/>
    <d v="2023-09-14T09:00:00"/>
    <x v="0"/>
    <x v="0"/>
    <s v="Night"/>
    <n v="8"/>
    <n v="8"/>
    <s v="Plan A"/>
  </r>
  <r>
    <s v="PAT5916"/>
    <n v="8"/>
    <x v="1"/>
    <x v="4"/>
    <d v="2024-04-15T00:00:00"/>
    <d v="2024-04-20T00:00:00"/>
    <n v="5"/>
    <x v="5"/>
    <n v="4"/>
    <s v="Dr. Mehta"/>
    <n v="28147"/>
    <x v="1"/>
    <x v="1"/>
    <x v="0"/>
    <d v="2024-10-04T00:00:00"/>
    <d v="2024-11-04T17:00:00"/>
    <x v="3"/>
    <x v="0"/>
    <s v="Night"/>
    <n v="10"/>
    <n v="12"/>
    <s v="Plan B"/>
  </r>
  <r>
    <s v="PAT5917"/>
    <n v="26"/>
    <x v="3"/>
    <x v="2"/>
    <d v="2023-09-19T00:00:00"/>
    <d v="2023-09-21T00:00:00"/>
    <n v="2"/>
    <x v="4"/>
    <n v="1"/>
    <s v="Dr. Gupta"/>
    <n v="6986"/>
    <x v="1"/>
    <x v="0"/>
    <x v="0"/>
    <d v="2023-09-14T00:00:00"/>
    <d v="2023-09-15T02:00:00"/>
    <x v="2"/>
    <x v="1"/>
    <s v="Morning"/>
    <n v="11"/>
    <n v="8"/>
    <s v="Plan B"/>
  </r>
  <r>
    <s v="PAT5918"/>
    <n v="51"/>
    <x v="0"/>
    <x v="4"/>
    <d v="2023-10-01T00:00:00"/>
    <d v="2023-01-23T00:00:00"/>
    <n v="13"/>
    <x v="1"/>
    <n v="5"/>
    <s v="Dr. Gupta"/>
    <n v="48593"/>
    <x v="2"/>
    <x v="0"/>
    <x v="0"/>
    <d v="2023-06-01T00:00:00"/>
    <d v="2023-06-01T05:00:00"/>
    <x v="4"/>
    <x v="0"/>
    <s v="Afternoon"/>
    <n v="4"/>
    <n v="12"/>
    <s v="Plan B"/>
  </r>
  <r>
    <s v="PAT5919"/>
    <n v="45"/>
    <x v="4"/>
    <x v="2"/>
    <d v="2024-04-21T00:00:00"/>
    <d v="2024-04-27T00:00:00"/>
    <n v="6"/>
    <x v="4"/>
    <n v="1"/>
    <s v="Dr. Mehta"/>
    <n v="37430"/>
    <x v="0"/>
    <x v="1"/>
    <x v="0"/>
    <d v="2024-04-18T00:00:00"/>
    <d v="2024-04-19T14:00:00"/>
    <x v="4"/>
    <x v="0"/>
    <s v="Morning"/>
    <n v="8"/>
    <n v="10"/>
    <s v="Plan C"/>
  </r>
  <r>
    <s v="PAT5920"/>
    <n v="44"/>
    <x v="4"/>
    <x v="1"/>
    <d v="2023-10-22T00:00:00"/>
    <d v="2023-10-29T00:00:00"/>
    <n v="7"/>
    <x v="1"/>
    <n v="2"/>
    <s v="Dr. Mehta"/>
    <n v="46961"/>
    <x v="4"/>
    <x v="1"/>
    <x v="0"/>
    <d v="2023-10-17T00:00:00"/>
    <d v="2023-10-18T13:00:00"/>
    <x v="4"/>
    <x v="0"/>
    <s v="Night"/>
    <n v="7"/>
    <n v="10"/>
    <s v="Plan C"/>
  </r>
  <r>
    <s v="PAT5921"/>
    <n v="5"/>
    <x v="1"/>
    <x v="3"/>
    <d v="2023-11-06T00:00:00"/>
    <d v="2023-06-26T00:00:00"/>
    <n v="15"/>
    <x v="4"/>
    <n v="2"/>
    <s v="Dr. Gupta"/>
    <n v="22430"/>
    <x v="0"/>
    <x v="1"/>
    <x v="0"/>
    <d v="2023-08-06T00:00:00"/>
    <d v="2023-08-06T04:00:00"/>
    <x v="2"/>
    <x v="1"/>
    <s v="Afternoon"/>
    <n v="6"/>
    <n v="10"/>
    <s v="Plan A"/>
  </r>
  <r>
    <s v="PAT5922"/>
    <n v="70"/>
    <x v="2"/>
    <x v="2"/>
    <d v="2023-03-17T00:00:00"/>
    <d v="2023-03-24T00:00:00"/>
    <n v="7"/>
    <x v="5"/>
    <n v="1"/>
    <s v="Dr. Rao"/>
    <n v="7176"/>
    <x v="1"/>
    <x v="1"/>
    <x v="0"/>
    <d v="2023-03-17T00:00:00"/>
    <d v="2023-03-18T04:00:00"/>
    <x v="4"/>
    <x v="0"/>
    <s v="Afternoon"/>
    <n v="7"/>
    <n v="12"/>
    <s v="Plan B"/>
  </r>
  <r>
    <s v="PAT5923"/>
    <n v="26"/>
    <x v="3"/>
    <x v="0"/>
    <d v="2024-03-28T00:00:00"/>
    <d v="2024-09-04T00:00:00"/>
    <n v="12"/>
    <x v="2"/>
    <n v="2"/>
    <s v="Dr. Gupta"/>
    <n v="23722"/>
    <x v="3"/>
    <x v="1"/>
    <x v="0"/>
    <d v="2024-03-28T00:00:00"/>
    <d v="2024-03-29T19:00:00"/>
    <x v="2"/>
    <x v="0"/>
    <s v="Night"/>
    <n v="8"/>
    <n v="8"/>
    <s v="Plan C"/>
  </r>
  <r>
    <s v="PAT5924"/>
    <n v="68"/>
    <x v="2"/>
    <x v="3"/>
    <d v="2023-12-20T00:00:00"/>
    <d v="2023-12-28T00:00:00"/>
    <n v="8"/>
    <x v="5"/>
    <n v="4"/>
    <s v="Dr. Patel"/>
    <n v="47815"/>
    <x v="4"/>
    <x v="0"/>
    <x v="0"/>
    <d v="2023-12-16T00:00:00"/>
    <d v="2023-12-16T09:00:00"/>
    <x v="4"/>
    <x v="0"/>
    <s v="Afternoon"/>
    <n v="8"/>
    <n v="12"/>
    <s v="Plan B"/>
  </r>
  <r>
    <s v="PAT5925"/>
    <n v="19"/>
    <x v="3"/>
    <x v="3"/>
    <d v="2023-03-11T00:00:00"/>
    <d v="2023-11-18T00:00:00"/>
    <n v="15"/>
    <x v="0"/>
    <n v="2"/>
    <s v="Dr. Gupta"/>
    <n v="23617"/>
    <x v="2"/>
    <x v="0"/>
    <x v="0"/>
    <d v="2023-10-30T00:00:00"/>
    <d v="2023-10-30T16:00:00"/>
    <x v="0"/>
    <x v="0"/>
    <s v="Afternoon"/>
    <n v="9"/>
    <n v="8"/>
    <s v="Plan C"/>
  </r>
  <r>
    <s v="PAT5926"/>
    <n v="84"/>
    <x v="2"/>
    <x v="2"/>
    <d v="2024-10-03T00:00:00"/>
    <d v="2024-03-17T00:00:00"/>
    <n v="7"/>
    <x v="3"/>
    <n v="5"/>
    <s v="Dr. Rao"/>
    <n v="32115"/>
    <x v="4"/>
    <x v="0"/>
    <x v="0"/>
    <d v="2024-07-03T00:00:00"/>
    <d v="2024-07-03T19:00:00"/>
    <x v="0"/>
    <x v="0"/>
    <s v="Night"/>
    <n v="7"/>
    <n v="8"/>
    <s v="Plan C"/>
  </r>
  <r>
    <s v="PAT5927"/>
    <n v="20"/>
    <x v="3"/>
    <x v="5"/>
    <d v="2023-09-14T00:00:00"/>
    <d v="2023-09-20T00:00:00"/>
    <n v="6"/>
    <x v="2"/>
    <n v="4"/>
    <s v="Dr. Patel"/>
    <n v="42376"/>
    <x v="2"/>
    <x v="0"/>
    <x v="0"/>
    <d v="2023-09-14T00:00:00"/>
    <d v="2023-09-14T17:00:00"/>
    <x v="1"/>
    <x v="0"/>
    <s v="Afternoon"/>
    <n v="7"/>
    <n v="8"/>
    <s v="Plan A"/>
  </r>
  <r>
    <s v="PAT5928"/>
    <n v="12"/>
    <x v="1"/>
    <x v="2"/>
    <d v="2024-12-04T00:00:00"/>
    <d v="2024-04-15T00:00:00"/>
    <n v="3"/>
    <x v="5"/>
    <n v="3"/>
    <s v="Dr. Sharma"/>
    <n v="16906"/>
    <x v="4"/>
    <x v="0"/>
    <x v="0"/>
    <d v="2024-12-04T00:00:00"/>
    <d v="2024-12-04T21:00:00"/>
    <x v="4"/>
    <x v="0"/>
    <s v="Afternoon"/>
    <n v="7"/>
    <n v="10"/>
    <s v="Plan A"/>
  </r>
  <r>
    <s v="PAT5929"/>
    <n v="47"/>
    <x v="4"/>
    <x v="3"/>
    <d v="2023-06-11T00:00:00"/>
    <d v="2023-11-14T00:00:00"/>
    <n v="8"/>
    <x v="0"/>
    <n v="2"/>
    <s v="Dr. Sharma"/>
    <n v="45002"/>
    <x v="2"/>
    <x v="1"/>
    <x v="1"/>
    <d v="2023-02-11T00:00:00"/>
    <d v="2023-03-11T02:00:00"/>
    <x v="4"/>
    <x v="1"/>
    <s v="Night"/>
    <n v="4"/>
    <n v="8"/>
    <s v="Plan C"/>
  </r>
  <r>
    <s v="PAT5930"/>
    <n v="1"/>
    <x v="1"/>
    <x v="0"/>
    <d v="2023-07-23T00:00:00"/>
    <d v="2023-04-08T00:00:00"/>
    <n v="12"/>
    <x v="3"/>
    <n v="2"/>
    <s v="Dr. Rao"/>
    <n v="11610"/>
    <x v="2"/>
    <x v="1"/>
    <x v="0"/>
    <d v="2023-07-18T00:00:00"/>
    <d v="2023-07-19T21:00:00"/>
    <x v="2"/>
    <x v="0"/>
    <s v="Afternoon"/>
    <n v="10"/>
    <n v="10"/>
    <s v="Plan A"/>
  </r>
  <r>
    <s v="PAT5931"/>
    <n v="14"/>
    <x v="1"/>
    <x v="3"/>
    <d v="2024-01-29T00:00:00"/>
    <d v="2024-06-02T00:00:00"/>
    <n v="8"/>
    <x v="0"/>
    <n v="5"/>
    <s v="Dr. Gupta"/>
    <n v="48292"/>
    <x v="4"/>
    <x v="0"/>
    <x v="0"/>
    <d v="2024-01-27T00:00:00"/>
    <d v="2024-01-29T00:00:00"/>
    <x v="2"/>
    <x v="0"/>
    <s v="Afternoon"/>
    <n v="8"/>
    <n v="8"/>
    <s v="Plan C"/>
  </r>
  <r>
    <s v="PAT5932"/>
    <n v="64"/>
    <x v="0"/>
    <x v="0"/>
    <d v="2024-09-05T00:00:00"/>
    <d v="2024-05-15T00:00:00"/>
    <n v="6"/>
    <x v="1"/>
    <n v="5"/>
    <s v="Dr. Mehta"/>
    <n v="18411"/>
    <x v="4"/>
    <x v="1"/>
    <x v="1"/>
    <d v="2024-05-05T00:00:00"/>
    <d v="2024-05-05T21:00:00"/>
    <x v="4"/>
    <x v="0"/>
    <s v="Afternoon"/>
    <n v="5"/>
    <n v="8"/>
    <s v="Plan C"/>
  </r>
  <r>
    <s v="PAT5933"/>
    <n v="38"/>
    <x v="4"/>
    <x v="4"/>
    <d v="2023-04-20T00:00:00"/>
    <d v="2023-05-05T00:00:00"/>
    <n v="15"/>
    <x v="1"/>
    <n v="1"/>
    <s v="Dr. Rao"/>
    <n v="14180"/>
    <x v="2"/>
    <x v="1"/>
    <x v="0"/>
    <d v="2023-04-18T00:00:00"/>
    <d v="2023-04-18T21:00:00"/>
    <x v="1"/>
    <x v="0"/>
    <s v="Afternoon"/>
    <n v="4"/>
    <n v="10"/>
    <s v="Plan B"/>
  </r>
  <r>
    <s v="PAT5934"/>
    <n v="37"/>
    <x v="4"/>
    <x v="1"/>
    <d v="2023-08-31T00:00:00"/>
    <d v="2023-09-13T00:00:00"/>
    <n v="13"/>
    <x v="4"/>
    <n v="1"/>
    <s v="Dr. Patel"/>
    <n v="15073"/>
    <x v="1"/>
    <x v="1"/>
    <x v="0"/>
    <d v="2023-08-31T00:00:00"/>
    <d v="2023-01-09T05:00:00"/>
    <x v="4"/>
    <x v="0"/>
    <s v="Night"/>
    <n v="4"/>
    <n v="10"/>
    <s v="Plan A"/>
  </r>
  <r>
    <s v="PAT5935"/>
    <n v="11"/>
    <x v="1"/>
    <x v="3"/>
    <d v="2024-01-26T00:00:00"/>
    <d v="2024-04-02T00:00:00"/>
    <n v="9"/>
    <x v="2"/>
    <n v="1"/>
    <s v="Dr. Patel"/>
    <n v="42251"/>
    <x v="4"/>
    <x v="0"/>
    <x v="0"/>
    <d v="2024-01-22T00:00:00"/>
    <d v="2024-01-22T18:00:00"/>
    <x v="2"/>
    <x v="0"/>
    <s v="Morning"/>
    <n v="4"/>
    <n v="12"/>
    <s v="Plan A"/>
  </r>
  <r>
    <s v="PAT5936"/>
    <n v="77"/>
    <x v="2"/>
    <x v="2"/>
    <d v="2024-03-01T00:00:00"/>
    <d v="2024-08-01T00:00:00"/>
    <n v="5"/>
    <x v="1"/>
    <n v="5"/>
    <s v="Dr. Sharma"/>
    <n v="35960"/>
    <x v="0"/>
    <x v="1"/>
    <x v="1"/>
    <d v="2023-12-29T00:00:00"/>
    <d v="2023-12-29T15:00:00"/>
    <x v="4"/>
    <x v="0"/>
    <s v="Morning"/>
    <n v="9"/>
    <n v="8"/>
    <s v="Plan A"/>
  </r>
  <r>
    <s v="PAT5937"/>
    <n v="3"/>
    <x v="1"/>
    <x v="4"/>
    <d v="2023-10-30T00:00:00"/>
    <d v="2023-12-11T00:00:00"/>
    <n v="13"/>
    <x v="0"/>
    <n v="1"/>
    <s v="Dr. Patel"/>
    <n v="10901"/>
    <x v="3"/>
    <x v="0"/>
    <x v="0"/>
    <d v="2023-10-25T00:00:00"/>
    <d v="2023-10-25T05:00:00"/>
    <x v="2"/>
    <x v="0"/>
    <s v="Afternoon"/>
    <n v="11"/>
    <n v="10"/>
    <s v="Plan B"/>
  </r>
  <r>
    <s v="PAT5938"/>
    <n v="33"/>
    <x v="3"/>
    <x v="1"/>
    <d v="2023-10-30T00:00:00"/>
    <d v="2023-01-11T00:00:00"/>
    <n v="2"/>
    <x v="2"/>
    <n v="1"/>
    <s v="Dr. Rao"/>
    <n v="43897"/>
    <x v="2"/>
    <x v="1"/>
    <x v="0"/>
    <d v="2023-10-27T00:00:00"/>
    <d v="2023-10-27T13:00:00"/>
    <x v="4"/>
    <x v="0"/>
    <s v="Night"/>
    <n v="10"/>
    <n v="12"/>
    <s v="Plan B"/>
  </r>
  <r>
    <s v="PAT5939"/>
    <n v="6"/>
    <x v="1"/>
    <x v="2"/>
    <d v="2023-01-23T00:00:00"/>
    <d v="2023-04-02T00:00:00"/>
    <n v="12"/>
    <x v="1"/>
    <n v="3"/>
    <s v="Dr. Patel"/>
    <n v="48183"/>
    <x v="2"/>
    <x v="0"/>
    <x v="1"/>
    <d v="2023-01-22T00:00:00"/>
    <d v="2023-01-22T09:00:00"/>
    <x v="3"/>
    <x v="0"/>
    <s v="Night"/>
    <n v="10"/>
    <n v="12"/>
    <s v="Plan B"/>
  </r>
  <r>
    <s v="PAT5940"/>
    <n v="50"/>
    <x v="4"/>
    <x v="5"/>
    <d v="2024-10-02T00:00:00"/>
    <d v="2024-02-17T00:00:00"/>
    <n v="7"/>
    <x v="4"/>
    <n v="1"/>
    <s v="Dr. Rao"/>
    <n v="9482"/>
    <x v="3"/>
    <x v="1"/>
    <x v="0"/>
    <d v="2024-10-02T00:00:00"/>
    <d v="2024-11-02T14:00:00"/>
    <x v="2"/>
    <x v="0"/>
    <s v="Afternoon"/>
    <n v="5"/>
    <n v="10"/>
    <s v="Plan A"/>
  </r>
  <r>
    <s v="PAT5941"/>
    <n v="10"/>
    <x v="1"/>
    <x v="2"/>
    <d v="2023-09-10T00:00:00"/>
    <d v="2023-11-10T00:00:00"/>
    <n v="2"/>
    <x v="5"/>
    <n v="2"/>
    <s v="Dr. Mehta"/>
    <n v="47454"/>
    <x v="1"/>
    <x v="0"/>
    <x v="0"/>
    <d v="2023-09-10T00:00:00"/>
    <d v="2023-09-10T07:00:00"/>
    <x v="1"/>
    <x v="0"/>
    <s v="Morning"/>
    <n v="11"/>
    <n v="8"/>
    <s v="Plan A"/>
  </r>
  <r>
    <s v="PAT5942"/>
    <n v="5"/>
    <x v="1"/>
    <x v="0"/>
    <d v="2023-09-01T00:00:00"/>
    <d v="2023-01-16T00:00:00"/>
    <n v="7"/>
    <x v="4"/>
    <n v="5"/>
    <s v="Dr. Sharma"/>
    <n v="30428"/>
    <x v="3"/>
    <x v="1"/>
    <x v="1"/>
    <d v="2023-05-01T00:00:00"/>
    <d v="2023-05-01T10:00:00"/>
    <x v="3"/>
    <x v="0"/>
    <s v="Afternoon"/>
    <n v="7"/>
    <n v="12"/>
    <s v="Plan A"/>
  </r>
  <r>
    <s v="PAT5943"/>
    <n v="23"/>
    <x v="3"/>
    <x v="0"/>
    <d v="2023-02-20T00:00:00"/>
    <d v="2023-02-03T00:00:00"/>
    <n v="10"/>
    <x v="3"/>
    <n v="4"/>
    <s v="Dr. Patel"/>
    <n v="12400"/>
    <x v="4"/>
    <x v="0"/>
    <x v="0"/>
    <d v="2023-02-19T00:00:00"/>
    <d v="2023-02-19T07:00:00"/>
    <x v="4"/>
    <x v="0"/>
    <s v="Night"/>
    <n v="9"/>
    <n v="8"/>
    <s v="Plan B"/>
  </r>
  <r>
    <s v="PAT5944"/>
    <n v="10"/>
    <x v="1"/>
    <x v="5"/>
    <d v="2024-05-23T00:00:00"/>
    <d v="2024-06-06T00:00:00"/>
    <n v="14"/>
    <x v="1"/>
    <n v="3"/>
    <s v="Dr. Rao"/>
    <n v="44574"/>
    <x v="3"/>
    <x v="1"/>
    <x v="0"/>
    <d v="2024-05-22T00:00:00"/>
    <d v="2024-05-22T11:00:00"/>
    <x v="2"/>
    <x v="0"/>
    <s v="Night"/>
    <n v="8"/>
    <n v="8"/>
    <s v="Plan B"/>
  </r>
  <r>
    <s v="PAT5945"/>
    <n v="44"/>
    <x v="4"/>
    <x v="4"/>
    <d v="2023-10-21T00:00:00"/>
    <d v="2023-10-24T00:00:00"/>
    <n v="3"/>
    <x v="3"/>
    <n v="5"/>
    <s v="Dr. Gupta"/>
    <n v="48284"/>
    <x v="2"/>
    <x v="1"/>
    <x v="0"/>
    <d v="2023-10-20T00:00:00"/>
    <d v="2023-10-21T05:00:00"/>
    <x v="3"/>
    <x v="0"/>
    <s v="Morning"/>
    <n v="11"/>
    <n v="12"/>
    <s v="Plan C"/>
  </r>
  <r>
    <s v="PAT5946"/>
    <n v="2"/>
    <x v="1"/>
    <x v="1"/>
    <d v="2023-08-24T00:00:00"/>
    <d v="2023-02-09T00:00:00"/>
    <n v="9"/>
    <x v="3"/>
    <n v="5"/>
    <s v="Dr. Sharma"/>
    <n v="12396"/>
    <x v="3"/>
    <x v="1"/>
    <x v="1"/>
    <d v="2023-08-20T00:00:00"/>
    <d v="2023-08-21T06:00:00"/>
    <x v="1"/>
    <x v="0"/>
    <s v="Night"/>
    <n v="6"/>
    <n v="10"/>
    <s v="Plan B"/>
  </r>
  <r>
    <s v="PAT5947"/>
    <n v="13"/>
    <x v="1"/>
    <x v="2"/>
    <d v="2023-12-27T00:00:00"/>
    <d v="2024-01-01T00:00:00"/>
    <n v="5"/>
    <x v="0"/>
    <n v="2"/>
    <s v="Dr. Mehta"/>
    <n v="12338"/>
    <x v="0"/>
    <x v="1"/>
    <x v="1"/>
    <d v="2023-12-23T00:00:00"/>
    <d v="2023-12-23T21:00:00"/>
    <x v="2"/>
    <x v="0"/>
    <s v="Night"/>
    <n v="9"/>
    <n v="8"/>
    <s v="Plan C"/>
  </r>
  <r>
    <s v="PAT5948"/>
    <n v="40"/>
    <x v="4"/>
    <x v="0"/>
    <d v="2023-08-13T00:00:00"/>
    <d v="2023-08-19T00:00:00"/>
    <n v="6"/>
    <x v="2"/>
    <n v="1"/>
    <s v="Dr. Rao"/>
    <n v="47718"/>
    <x v="4"/>
    <x v="1"/>
    <x v="1"/>
    <d v="2023-11-08T00:00:00"/>
    <d v="2023-12-08T03:00:00"/>
    <x v="3"/>
    <x v="0"/>
    <s v="Night"/>
    <n v="6"/>
    <n v="10"/>
    <s v="Plan A"/>
  </r>
  <r>
    <s v="PAT5949"/>
    <n v="2"/>
    <x v="1"/>
    <x v="4"/>
    <d v="2023-07-14T00:00:00"/>
    <d v="2023-07-16T00:00:00"/>
    <n v="2"/>
    <x v="0"/>
    <n v="2"/>
    <s v="Dr. Mehta"/>
    <n v="17500"/>
    <x v="3"/>
    <x v="1"/>
    <x v="0"/>
    <d v="2023-12-07T00:00:00"/>
    <d v="2023-12-07T08:00:00"/>
    <x v="3"/>
    <x v="0"/>
    <s v="Morning"/>
    <n v="8"/>
    <n v="12"/>
    <s v="Plan B"/>
  </r>
  <r>
    <s v="PAT5950"/>
    <n v="84"/>
    <x v="2"/>
    <x v="5"/>
    <d v="2023-09-14T00:00:00"/>
    <d v="2023-09-16T00:00:00"/>
    <n v="2"/>
    <x v="1"/>
    <n v="1"/>
    <s v="Dr. Mehta"/>
    <n v="16545"/>
    <x v="2"/>
    <x v="0"/>
    <x v="0"/>
    <d v="2023-12-09T00:00:00"/>
    <d v="2023-09-13T11:00:00"/>
    <x v="3"/>
    <x v="0"/>
    <s v="Night"/>
    <n v="5"/>
    <n v="8"/>
    <s v="Plan A"/>
  </r>
  <r>
    <s v="PAT5951"/>
    <n v="65"/>
    <x v="0"/>
    <x v="3"/>
    <d v="2023-05-21T00:00:00"/>
    <d v="2023-05-27T00:00:00"/>
    <n v="6"/>
    <x v="3"/>
    <n v="1"/>
    <s v="Dr. Patel"/>
    <n v="10241"/>
    <x v="4"/>
    <x v="0"/>
    <x v="1"/>
    <d v="2023-05-18T00:00:00"/>
    <d v="2023-05-18T23:00:00"/>
    <x v="0"/>
    <x v="0"/>
    <s v="Afternoon"/>
    <n v="10"/>
    <n v="10"/>
    <s v="Plan A"/>
  </r>
  <r>
    <s v="PAT5952"/>
    <n v="63"/>
    <x v="0"/>
    <x v="0"/>
    <d v="2023-10-04T00:00:00"/>
    <d v="2023-04-21T00:00:00"/>
    <n v="11"/>
    <x v="5"/>
    <n v="5"/>
    <s v="Dr. Patel"/>
    <n v="28778"/>
    <x v="2"/>
    <x v="1"/>
    <x v="1"/>
    <d v="2023-10-04T00:00:00"/>
    <d v="2023-10-04T14:00:00"/>
    <x v="4"/>
    <x v="1"/>
    <s v="Morning"/>
    <n v="6"/>
    <n v="10"/>
    <s v="Plan A"/>
  </r>
  <r>
    <s v="PAT5953"/>
    <n v="73"/>
    <x v="2"/>
    <x v="5"/>
    <d v="2023-10-02T00:00:00"/>
    <d v="2023-02-15T00:00:00"/>
    <n v="5"/>
    <x v="3"/>
    <n v="1"/>
    <s v="Dr. Rao"/>
    <n v="27821"/>
    <x v="1"/>
    <x v="0"/>
    <x v="0"/>
    <d v="2023-08-02T00:00:00"/>
    <d v="2023-09-02T05:00:00"/>
    <x v="2"/>
    <x v="0"/>
    <s v="Afternoon"/>
    <n v="4"/>
    <n v="8"/>
    <s v="Plan A"/>
  </r>
  <r>
    <s v="PAT5954"/>
    <n v="17"/>
    <x v="1"/>
    <x v="2"/>
    <d v="2023-11-13T00:00:00"/>
    <d v="2023-11-18T00:00:00"/>
    <n v="5"/>
    <x v="5"/>
    <n v="3"/>
    <s v="Dr. Gupta"/>
    <n v="9695"/>
    <x v="0"/>
    <x v="1"/>
    <x v="0"/>
    <d v="2023-10-11T00:00:00"/>
    <d v="2023-10-11T20:00:00"/>
    <x v="2"/>
    <x v="0"/>
    <s v="Afternoon"/>
    <n v="9"/>
    <n v="10"/>
    <s v="Plan B"/>
  </r>
  <r>
    <s v="PAT5955"/>
    <n v="9"/>
    <x v="1"/>
    <x v="1"/>
    <d v="2024-03-27T00:00:00"/>
    <d v="2024-04-04T00:00:00"/>
    <n v="8"/>
    <x v="0"/>
    <n v="3"/>
    <s v="Dr. Rao"/>
    <n v="16530"/>
    <x v="1"/>
    <x v="1"/>
    <x v="0"/>
    <d v="2024-03-24T00:00:00"/>
    <d v="2024-03-25T06:00:00"/>
    <x v="2"/>
    <x v="1"/>
    <s v="Morning"/>
    <n v="11"/>
    <n v="10"/>
    <s v="Plan A"/>
  </r>
  <r>
    <s v="PAT5956"/>
    <n v="75"/>
    <x v="2"/>
    <x v="0"/>
    <d v="2023-04-02T00:00:00"/>
    <d v="2023-02-14T00:00:00"/>
    <n v="10"/>
    <x v="0"/>
    <n v="3"/>
    <s v="Dr. Gupta"/>
    <n v="19318"/>
    <x v="0"/>
    <x v="1"/>
    <x v="0"/>
    <d v="2023-01-31T00:00:00"/>
    <d v="2023-01-31T17:00:00"/>
    <x v="3"/>
    <x v="0"/>
    <s v="Afternoon"/>
    <n v="11"/>
    <n v="12"/>
    <s v="Plan C"/>
  </r>
  <r>
    <s v="PAT5957"/>
    <n v="15"/>
    <x v="1"/>
    <x v="0"/>
    <d v="2024-09-01T00:00:00"/>
    <d v="2024-01-21T00:00:00"/>
    <n v="12"/>
    <x v="2"/>
    <n v="5"/>
    <s v="Dr. Mehta"/>
    <n v="27331"/>
    <x v="3"/>
    <x v="1"/>
    <x v="0"/>
    <d v="2024-08-01T00:00:00"/>
    <d v="2024-08-01T08:00:00"/>
    <x v="4"/>
    <x v="0"/>
    <s v="Morning"/>
    <n v="6"/>
    <n v="12"/>
    <s v="Plan B"/>
  </r>
  <r>
    <s v="PAT5958"/>
    <n v="24"/>
    <x v="3"/>
    <x v="2"/>
    <d v="2023-05-15T00:00:00"/>
    <d v="2023-05-22T00:00:00"/>
    <n v="7"/>
    <x v="3"/>
    <n v="2"/>
    <s v="Dr. Sharma"/>
    <n v="31355"/>
    <x v="4"/>
    <x v="1"/>
    <x v="1"/>
    <d v="2023-10-05T00:00:00"/>
    <d v="2023-10-05T06:00:00"/>
    <x v="1"/>
    <x v="0"/>
    <s v="Afternoon"/>
    <n v="8"/>
    <n v="10"/>
    <s v="Plan A"/>
  </r>
  <r>
    <s v="PAT5959"/>
    <n v="38"/>
    <x v="4"/>
    <x v="3"/>
    <d v="2023-03-04T00:00:00"/>
    <d v="2023-06-04T00:00:00"/>
    <n v="3"/>
    <x v="4"/>
    <n v="4"/>
    <s v="Dr. Rao"/>
    <n v="16324"/>
    <x v="3"/>
    <x v="0"/>
    <x v="0"/>
    <d v="2023-02-04T00:00:00"/>
    <d v="2023-02-04T11:00:00"/>
    <x v="2"/>
    <x v="0"/>
    <s v="Morning"/>
    <n v="10"/>
    <n v="10"/>
    <s v="Plan B"/>
  </r>
  <r>
    <s v="PAT5960"/>
    <n v="35"/>
    <x v="3"/>
    <x v="4"/>
    <d v="2023-10-30T00:00:00"/>
    <d v="2023-11-11T00:00:00"/>
    <n v="12"/>
    <x v="0"/>
    <n v="1"/>
    <s v="Dr. Rao"/>
    <n v="33149"/>
    <x v="0"/>
    <x v="1"/>
    <x v="0"/>
    <d v="2023-10-28T00:00:00"/>
    <d v="2023-10-29T20:00:00"/>
    <x v="4"/>
    <x v="0"/>
    <s v="Night"/>
    <n v="4"/>
    <n v="8"/>
    <s v="Plan C"/>
  </r>
  <r>
    <s v="PAT5961"/>
    <n v="49"/>
    <x v="4"/>
    <x v="1"/>
    <d v="2023-01-12T00:00:00"/>
    <d v="2023-09-12T00:00:00"/>
    <n v="8"/>
    <x v="0"/>
    <n v="4"/>
    <s v="Dr. Gupta"/>
    <n v="8218"/>
    <x v="0"/>
    <x v="1"/>
    <x v="0"/>
    <d v="2023-11-26T00:00:00"/>
    <d v="2023-11-26T20:00:00"/>
    <x v="4"/>
    <x v="1"/>
    <s v="Night"/>
    <n v="11"/>
    <n v="12"/>
    <s v="Plan A"/>
  </r>
  <r>
    <s v="PAT5962"/>
    <n v="69"/>
    <x v="2"/>
    <x v="0"/>
    <d v="2024-01-03T00:00:00"/>
    <d v="2024-07-03T00:00:00"/>
    <n v="6"/>
    <x v="2"/>
    <n v="2"/>
    <s v="Dr. Mehta"/>
    <n v="25141"/>
    <x v="0"/>
    <x v="1"/>
    <x v="0"/>
    <d v="2024-01-03T00:00:00"/>
    <d v="2024-02-03T22:00:00"/>
    <x v="0"/>
    <x v="0"/>
    <s v="Afternoon"/>
    <n v="6"/>
    <n v="8"/>
    <s v="Plan C"/>
  </r>
  <r>
    <s v="PAT5963"/>
    <n v="62"/>
    <x v="0"/>
    <x v="1"/>
    <d v="2023-06-29T00:00:00"/>
    <d v="2023-07-07T00:00:00"/>
    <n v="8"/>
    <x v="5"/>
    <n v="2"/>
    <s v="Dr. Mehta"/>
    <n v="41784"/>
    <x v="2"/>
    <x v="0"/>
    <x v="1"/>
    <d v="2023-06-24T00:00:00"/>
    <d v="2023-06-25T21:00:00"/>
    <x v="2"/>
    <x v="0"/>
    <s v="Night"/>
    <n v="10"/>
    <n v="10"/>
    <s v="Plan A"/>
  </r>
  <r>
    <s v="PAT5964"/>
    <n v="60"/>
    <x v="0"/>
    <x v="0"/>
    <d v="2023-07-25T00:00:00"/>
    <d v="2023-07-26T00:00:00"/>
    <n v="1"/>
    <x v="2"/>
    <n v="5"/>
    <s v="Dr. Gupta"/>
    <n v="7837"/>
    <x v="4"/>
    <x v="1"/>
    <x v="1"/>
    <d v="2023-07-20T00:00:00"/>
    <d v="2023-07-21T15:00:00"/>
    <x v="3"/>
    <x v="0"/>
    <s v="Morning"/>
    <n v="8"/>
    <n v="8"/>
    <s v="Plan C"/>
  </r>
  <r>
    <s v="PAT5965"/>
    <n v="50"/>
    <x v="4"/>
    <x v="1"/>
    <d v="2023-05-16T00:00:00"/>
    <d v="2023-05-28T00:00:00"/>
    <n v="12"/>
    <x v="3"/>
    <n v="3"/>
    <s v="Dr. Mehta"/>
    <n v="44802"/>
    <x v="3"/>
    <x v="0"/>
    <x v="0"/>
    <d v="2023-05-16T00:00:00"/>
    <d v="2023-05-16T03:00:00"/>
    <x v="4"/>
    <x v="0"/>
    <s v="Afternoon"/>
    <n v="5"/>
    <n v="10"/>
    <s v="Plan A"/>
  </r>
  <r>
    <s v="PAT5966"/>
    <n v="78"/>
    <x v="2"/>
    <x v="5"/>
    <d v="2024-10-01T00:00:00"/>
    <d v="2024-01-24T00:00:00"/>
    <n v="14"/>
    <x v="1"/>
    <n v="3"/>
    <s v="Dr. Patel"/>
    <n v="45077"/>
    <x v="3"/>
    <x v="0"/>
    <x v="1"/>
    <d v="2024-10-01T00:00:00"/>
    <d v="2024-10-01T14:00:00"/>
    <x v="4"/>
    <x v="0"/>
    <s v="Night"/>
    <n v="8"/>
    <n v="12"/>
    <s v="Plan B"/>
  </r>
  <r>
    <s v="PAT5967"/>
    <n v="75"/>
    <x v="2"/>
    <x v="0"/>
    <d v="2024-05-28T00:00:00"/>
    <d v="2024-12-06T00:00:00"/>
    <n v="15"/>
    <x v="1"/>
    <n v="2"/>
    <s v="Dr. Sharma"/>
    <n v="19379"/>
    <x v="1"/>
    <x v="0"/>
    <x v="1"/>
    <d v="2024-05-25T00:00:00"/>
    <d v="2024-05-25T21:00:00"/>
    <x v="1"/>
    <x v="0"/>
    <s v="Night"/>
    <n v="5"/>
    <n v="12"/>
    <s v="Plan A"/>
  </r>
  <r>
    <s v="PAT5968"/>
    <n v="9"/>
    <x v="1"/>
    <x v="1"/>
    <d v="2023-07-10T00:00:00"/>
    <d v="2023-10-13T00:00:00"/>
    <n v="6"/>
    <x v="5"/>
    <n v="5"/>
    <s v="Dr. Rao"/>
    <n v="9239"/>
    <x v="0"/>
    <x v="0"/>
    <x v="1"/>
    <d v="2023-04-10T00:00:00"/>
    <d v="2023-04-10T10:00:00"/>
    <x v="0"/>
    <x v="0"/>
    <s v="Afternoon"/>
    <n v="11"/>
    <n v="10"/>
    <s v="Plan B"/>
  </r>
  <r>
    <s v="PAT5969"/>
    <n v="34"/>
    <x v="3"/>
    <x v="4"/>
    <d v="2023-06-18T00:00:00"/>
    <d v="2023-06-28T00:00:00"/>
    <n v="10"/>
    <x v="0"/>
    <n v="5"/>
    <s v="Dr. Sharma"/>
    <n v="49896"/>
    <x v="0"/>
    <x v="1"/>
    <x v="1"/>
    <d v="2023-06-15T00:00:00"/>
    <d v="2023-06-15T06:00:00"/>
    <x v="4"/>
    <x v="0"/>
    <s v="Night"/>
    <n v="10"/>
    <n v="12"/>
    <s v="Plan A"/>
  </r>
  <r>
    <s v="PAT5970"/>
    <n v="76"/>
    <x v="2"/>
    <x v="5"/>
    <d v="2023-09-21T00:00:00"/>
    <d v="2023-09-28T00:00:00"/>
    <n v="7"/>
    <x v="5"/>
    <n v="1"/>
    <s v="Dr. Rao"/>
    <n v="25812"/>
    <x v="0"/>
    <x v="0"/>
    <x v="0"/>
    <d v="2023-09-17T00:00:00"/>
    <d v="2023-09-18T22:00:00"/>
    <x v="4"/>
    <x v="1"/>
    <s v="Night"/>
    <n v="10"/>
    <n v="10"/>
    <s v="Plan A"/>
  </r>
  <r>
    <s v="PAT5971"/>
    <n v="35"/>
    <x v="3"/>
    <x v="5"/>
    <d v="2024-08-05T00:00:00"/>
    <d v="2024-05-13T00:00:00"/>
    <n v="5"/>
    <x v="0"/>
    <n v="3"/>
    <s v="Dr. Patel"/>
    <n v="34669"/>
    <x v="3"/>
    <x v="1"/>
    <x v="1"/>
    <d v="2024-05-05T00:00:00"/>
    <d v="2024-05-05T16:00:00"/>
    <x v="3"/>
    <x v="0"/>
    <s v="Afternoon"/>
    <n v="4"/>
    <n v="8"/>
    <s v="Plan C"/>
  </r>
  <r>
    <s v="PAT5972"/>
    <n v="1"/>
    <x v="1"/>
    <x v="4"/>
    <d v="2023-10-30T00:00:00"/>
    <d v="2023-10-11T00:00:00"/>
    <n v="11"/>
    <x v="0"/>
    <n v="2"/>
    <s v="Dr. Mehta"/>
    <n v="14611"/>
    <x v="1"/>
    <x v="0"/>
    <x v="0"/>
    <d v="2023-10-30T00:00:00"/>
    <d v="2023-10-30T23:00:00"/>
    <x v="3"/>
    <x v="0"/>
    <s v="Night"/>
    <n v="8"/>
    <n v="10"/>
    <s v="Plan C"/>
  </r>
  <r>
    <s v="PAT5973"/>
    <n v="40"/>
    <x v="4"/>
    <x v="1"/>
    <d v="2023-12-13T00:00:00"/>
    <d v="2023-12-26T00:00:00"/>
    <n v="13"/>
    <x v="1"/>
    <n v="4"/>
    <s v="Dr. Gupta"/>
    <n v="9150"/>
    <x v="2"/>
    <x v="0"/>
    <x v="0"/>
    <d v="2023-08-12T00:00:00"/>
    <d v="2023-09-12T02:00:00"/>
    <x v="1"/>
    <x v="0"/>
    <s v="Night"/>
    <n v="7"/>
    <n v="8"/>
    <s v="Plan C"/>
  </r>
  <r>
    <s v="PAT5974"/>
    <n v="64"/>
    <x v="0"/>
    <x v="2"/>
    <d v="2023-04-28T00:00:00"/>
    <d v="2023-04-29T00:00:00"/>
    <n v="1"/>
    <x v="5"/>
    <n v="3"/>
    <s v="Dr. Patel"/>
    <n v="16109"/>
    <x v="4"/>
    <x v="0"/>
    <x v="0"/>
    <d v="2023-04-28T00:00:00"/>
    <d v="2023-04-29T09:00:00"/>
    <x v="1"/>
    <x v="0"/>
    <s v="Night"/>
    <n v="11"/>
    <n v="10"/>
    <s v="Plan A"/>
  </r>
  <r>
    <s v="PAT5975"/>
    <n v="22"/>
    <x v="3"/>
    <x v="4"/>
    <d v="2024-04-24T00:00:00"/>
    <d v="2024-04-26T00:00:00"/>
    <n v="2"/>
    <x v="2"/>
    <n v="1"/>
    <s v="Dr. Sharma"/>
    <n v="39214"/>
    <x v="2"/>
    <x v="1"/>
    <x v="1"/>
    <d v="2024-04-19T00:00:00"/>
    <d v="2024-04-19T04:00:00"/>
    <x v="1"/>
    <x v="0"/>
    <s v="Night"/>
    <n v="9"/>
    <n v="12"/>
    <s v="Plan A"/>
  </r>
  <r>
    <s v="PAT5976"/>
    <n v="60"/>
    <x v="0"/>
    <x v="1"/>
    <d v="2023-03-19T00:00:00"/>
    <d v="2023-03-30T00:00:00"/>
    <n v="11"/>
    <x v="0"/>
    <n v="5"/>
    <s v="Dr. Gupta"/>
    <n v="31016"/>
    <x v="3"/>
    <x v="1"/>
    <x v="0"/>
    <d v="2023-03-18T00:00:00"/>
    <d v="2023-03-19T20:00:00"/>
    <x v="3"/>
    <x v="0"/>
    <s v="Afternoon"/>
    <n v="7"/>
    <n v="10"/>
    <s v="Plan A"/>
  </r>
  <r>
    <s v="PAT5977"/>
    <n v="64"/>
    <x v="0"/>
    <x v="4"/>
    <d v="2023-05-25T00:00:00"/>
    <d v="2023-05-06T00:00:00"/>
    <n v="11"/>
    <x v="4"/>
    <n v="2"/>
    <s v="Dr. Mehta"/>
    <n v="16936"/>
    <x v="0"/>
    <x v="0"/>
    <x v="1"/>
    <d v="2023-05-25T00:00:00"/>
    <d v="2023-05-25T20:00:00"/>
    <x v="3"/>
    <x v="0"/>
    <s v="Morning"/>
    <n v="11"/>
    <n v="10"/>
    <s v="Plan B"/>
  </r>
  <r>
    <s v="PAT5978"/>
    <n v="72"/>
    <x v="2"/>
    <x v="4"/>
    <d v="2023-08-20T00:00:00"/>
    <d v="2023-08-27T00:00:00"/>
    <n v="7"/>
    <x v="4"/>
    <n v="3"/>
    <s v="Dr. Patel"/>
    <n v="16036"/>
    <x v="4"/>
    <x v="1"/>
    <x v="0"/>
    <d v="2023-08-17T00:00:00"/>
    <d v="2023-08-17T17:00:00"/>
    <x v="0"/>
    <x v="0"/>
    <s v="Morning"/>
    <n v="7"/>
    <n v="10"/>
    <s v="Plan B"/>
  </r>
  <r>
    <s v="PAT5979"/>
    <n v="11"/>
    <x v="1"/>
    <x v="0"/>
    <d v="2024-11-02T00:00:00"/>
    <d v="2024-02-17T00:00:00"/>
    <n v="6"/>
    <x v="2"/>
    <n v="4"/>
    <s v="Dr. Gupta"/>
    <n v="44236"/>
    <x v="3"/>
    <x v="1"/>
    <x v="0"/>
    <d v="2024-08-02T00:00:00"/>
    <d v="2024-08-02T12:00:00"/>
    <x v="2"/>
    <x v="1"/>
    <s v="Night"/>
    <n v="7"/>
    <n v="12"/>
    <s v="Plan A"/>
  </r>
  <r>
    <s v="PAT5980"/>
    <n v="14"/>
    <x v="1"/>
    <x v="1"/>
    <d v="2024-10-01T00:00:00"/>
    <d v="2024-01-19T00:00:00"/>
    <n v="9"/>
    <x v="4"/>
    <n v="1"/>
    <s v="Dr. Patel"/>
    <n v="19021"/>
    <x v="3"/>
    <x v="1"/>
    <x v="0"/>
    <d v="2024-05-01T00:00:00"/>
    <d v="2024-05-01T02:00:00"/>
    <x v="2"/>
    <x v="0"/>
    <s v="Night"/>
    <n v="9"/>
    <n v="10"/>
    <s v="Plan C"/>
  </r>
  <r>
    <s v="PAT5981"/>
    <n v="60"/>
    <x v="0"/>
    <x v="2"/>
    <d v="2023-03-04T00:00:00"/>
    <d v="2023-04-16T00:00:00"/>
    <n v="13"/>
    <x v="3"/>
    <n v="1"/>
    <s v="Dr. Patel"/>
    <n v="41943"/>
    <x v="3"/>
    <x v="0"/>
    <x v="0"/>
    <d v="2023-01-04T00:00:00"/>
    <d v="2023-02-04T02:00:00"/>
    <x v="0"/>
    <x v="1"/>
    <s v="Morning"/>
    <n v="7"/>
    <n v="12"/>
    <s v="Plan C"/>
  </r>
  <r>
    <s v="PAT5982"/>
    <n v="30"/>
    <x v="3"/>
    <x v="0"/>
    <d v="2024-09-02T00:00:00"/>
    <d v="2024-02-21T00:00:00"/>
    <n v="12"/>
    <x v="0"/>
    <n v="3"/>
    <s v="Dr. Mehta"/>
    <n v="42848"/>
    <x v="4"/>
    <x v="1"/>
    <x v="0"/>
    <d v="2024-05-02T00:00:00"/>
    <d v="2024-06-02T05:00:00"/>
    <x v="2"/>
    <x v="0"/>
    <s v="Night"/>
    <n v="5"/>
    <n v="10"/>
    <s v="Plan C"/>
  </r>
  <r>
    <s v="PAT5983"/>
    <n v="35"/>
    <x v="3"/>
    <x v="4"/>
    <d v="2023-01-15T00:00:00"/>
    <d v="2023-01-26T00:00:00"/>
    <n v="11"/>
    <x v="2"/>
    <n v="4"/>
    <s v="Dr. Rao"/>
    <n v="20471"/>
    <x v="4"/>
    <x v="1"/>
    <x v="0"/>
    <d v="2023-01-15T00:00:00"/>
    <d v="2023-01-16T12:00:00"/>
    <x v="3"/>
    <x v="0"/>
    <s v="Morning"/>
    <n v="8"/>
    <n v="8"/>
    <s v="Plan A"/>
  </r>
  <r>
    <s v="PAT5984"/>
    <n v="85"/>
    <x v="2"/>
    <x v="3"/>
    <d v="2023-09-28T00:00:00"/>
    <d v="2023-01-10T00:00:00"/>
    <n v="3"/>
    <x v="5"/>
    <n v="1"/>
    <s v="Dr. Gupta"/>
    <n v="28244"/>
    <x v="1"/>
    <x v="1"/>
    <x v="0"/>
    <d v="2023-09-24T00:00:00"/>
    <d v="2023-09-26T00:00:00"/>
    <x v="2"/>
    <x v="0"/>
    <s v="Afternoon"/>
    <n v="10"/>
    <n v="10"/>
    <s v="Plan C"/>
  </r>
  <r>
    <s v="PAT5985"/>
    <n v="37"/>
    <x v="4"/>
    <x v="4"/>
    <d v="2023-07-05T00:00:00"/>
    <d v="2023-08-05T00:00:00"/>
    <n v="1"/>
    <x v="0"/>
    <n v="2"/>
    <s v="Dr. Mehta"/>
    <n v="43985"/>
    <x v="1"/>
    <x v="1"/>
    <x v="0"/>
    <d v="2023-07-05T00:00:00"/>
    <d v="2023-08-05T12:00:00"/>
    <x v="3"/>
    <x v="0"/>
    <s v="Afternoon"/>
    <n v="4"/>
    <n v="8"/>
    <s v="Plan A"/>
  </r>
  <r>
    <s v="PAT5986"/>
    <n v="5"/>
    <x v="1"/>
    <x v="4"/>
    <d v="2024-10-04T00:00:00"/>
    <d v="2024-04-13T00:00:00"/>
    <n v="3"/>
    <x v="2"/>
    <n v="1"/>
    <s v="Dr. Patel"/>
    <n v="43440"/>
    <x v="2"/>
    <x v="0"/>
    <x v="0"/>
    <d v="2024-09-04T00:00:00"/>
    <d v="2024-09-04T16:00:00"/>
    <x v="0"/>
    <x v="0"/>
    <s v="Afternoon"/>
    <n v="7"/>
    <n v="12"/>
    <s v="Plan B"/>
  </r>
  <r>
    <s v="PAT5987"/>
    <n v="83"/>
    <x v="2"/>
    <x v="1"/>
    <d v="2024-01-13T00:00:00"/>
    <d v="2024-01-27T00:00:00"/>
    <n v="14"/>
    <x v="1"/>
    <n v="4"/>
    <s v="Dr. Mehta"/>
    <n v="6502"/>
    <x v="4"/>
    <x v="0"/>
    <x v="0"/>
    <d v="2024-12-01T00:00:00"/>
    <d v="2024-12-01T07:00:00"/>
    <x v="1"/>
    <x v="0"/>
    <s v="Afternoon"/>
    <n v="10"/>
    <n v="12"/>
    <s v="Plan C"/>
  </r>
  <r>
    <s v="PAT5988"/>
    <n v="78"/>
    <x v="2"/>
    <x v="1"/>
    <d v="2023-09-26T00:00:00"/>
    <d v="2023-06-10T00:00:00"/>
    <n v="10"/>
    <x v="5"/>
    <n v="5"/>
    <s v="Dr. Rao"/>
    <n v="39178"/>
    <x v="4"/>
    <x v="0"/>
    <x v="0"/>
    <d v="2023-09-21T00:00:00"/>
    <d v="2023-09-22T06:00:00"/>
    <x v="0"/>
    <x v="0"/>
    <s v="Afternoon"/>
    <n v="7"/>
    <n v="10"/>
    <s v="Plan B"/>
  </r>
  <r>
    <s v="PAT5989"/>
    <n v="26"/>
    <x v="3"/>
    <x v="0"/>
    <d v="2024-01-26T00:00:00"/>
    <d v="2024-06-02T00:00:00"/>
    <n v="11"/>
    <x v="1"/>
    <n v="5"/>
    <s v="Dr. Gupta"/>
    <n v="8770"/>
    <x v="4"/>
    <x v="1"/>
    <x v="0"/>
    <d v="2024-01-22T00:00:00"/>
    <d v="2024-01-22T07:00:00"/>
    <x v="2"/>
    <x v="1"/>
    <s v="Afternoon"/>
    <n v="11"/>
    <n v="12"/>
    <s v="Plan C"/>
  </r>
  <r>
    <s v="PAT5990"/>
    <n v="62"/>
    <x v="0"/>
    <x v="2"/>
    <d v="2024-01-16T00:00:00"/>
    <d v="2024-01-29T00:00:00"/>
    <n v="13"/>
    <x v="0"/>
    <n v="3"/>
    <s v="Dr. Rao"/>
    <n v="47865"/>
    <x v="1"/>
    <x v="0"/>
    <x v="0"/>
    <d v="2024-01-13T00:00:00"/>
    <d v="2024-01-13T09:00:00"/>
    <x v="3"/>
    <x v="0"/>
    <s v="Morning"/>
    <n v="4"/>
    <n v="10"/>
    <s v="Plan A"/>
  </r>
  <r>
    <s v="PAT5991"/>
    <n v="4"/>
    <x v="1"/>
    <x v="0"/>
    <d v="2023-04-21T00:00:00"/>
    <d v="2023-04-29T00:00:00"/>
    <n v="8"/>
    <x v="5"/>
    <n v="4"/>
    <s v="Dr. Sharma"/>
    <n v="9001"/>
    <x v="3"/>
    <x v="1"/>
    <x v="0"/>
    <d v="2023-04-19T00:00:00"/>
    <d v="2023-04-19T08:00:00"/>
    <x v="2"/>
    <x v="0"/>
    <s v="Night"/>
    <n v="11"/>
    <n v="12"/>
    <s v="Plan A"/>
  </r>
  <r>
    <s v="PAT5992"/>
    <n v="89"/>
    <x v="2"/>
    <x v="5"/>
    <d v="2023-08-28T00:00:00"/>
    <d v="2023-08-29T00:00:00"/>
    <n v="1"/>
    <x v="4"/>
    <n v="1"/>
    <s v="Dr. Gupta"/>
    <n v="25946"/>
    <x v="0"/>
    <x v="1"/>
    <x v="1"/>
    <d v="2023-08-28T00:00:00"/>
    <d v="2023-08-28T01:00:00"/>
    <x v="2"/>
    <x v="0"/>
    <s v="Morning"/>
    <n v="4"/>
    <n v="8"/>
    <s v="Plan A"/>
  </r>
  <r>
    <s v="PAT5993"/>
    <n v="42"/>
    <x v="4"/>
    <x v="4"/>
    <d v="2024-04-27T00:00:00"/>
    <d v="2024-04-30T00:00:00"/>
    <n v="3"/>
    <x v="2"/>
    <n v="1"/>
    <s v="Dr. Rao"/>
    <n v="5598"/>
    <x v="1"/>
    <x v="1"/>
    <x v="0"/>
    <d v="2024-04-27T00:00:00"/>
    <d v="2024-04-27T04:00:00"/>
    <x v="1"/>
    <x v="0"/>
    <s v="Afternoon"/>
    <n v="7"/>
    <n v="12"/>
    <s v="Plan A"/>
  </r>
  <r>
    <s v="PAT5994"/>
    <n v="89"/>
    <x v="2"/>
    <x v="3"/>
    <d v="2023-01-26T00:00:00"/>
    <d v="2023-01-28T00:00:00"/>
    <n v="2"/>
    <x v="0"/>
    <n v="5"/>
    <s v="Dr. Patel"/>
    <n v="35316"/>
    <x v="4"/>
    <x v="1"/>
    <x v="1"/>
    <d v="2023-01-21T00:00:00"/>
    <d v="2023-01-21T15:00:00"/>
    <x v="2"/>
    <x v="0"/>
    <s v="Night"/>
    <n v="5"/>
    <n v="8"/>
    <s v="Plan C"/>
  </r>
  <r>
    <s v="PAT5995"/>
    <n v="18"/>
    <x v="3"/>
    <x v="4"/>
    <d v="2023-02-12T00:00:00"/>
    <d v="2023-06-12T00:00:00"/>
    <n v="4"/>
    <x v="3"/>
    <n v="5"/>
    <s v="Dr. Gupta"/>
    <n v="30567"/>
    <x v="1"/>
    <x v="1"/>
    <x v="0"/>
    <d v="2023-11-30T00:00:00"/>
    <d v="2023-11-30T09:00:00"/>
    <x v="1"/>
    <x v="0"/>
    <s v="Night"/>
    <n v="10"/>
    <n v="10"/>
    <s v="Plan B"/>
  </r>
  <r>
    <s v="PAT5996"/>
    <n v="40"/>
    <x v="4"/>
    <x v="4"/>
    <d v="2023-08-15T00:00:00"/>
    <d v="2023-08-28T00:00:00"/>
    <n v="13"/>
    <x v="5"/>
    <n v="2"/>
    <s v="Dr. Gupta"/>
    <n v="31508"/>
    <x v="2"/>
    <x v="1"/>
    <x v="1"/>
    <d v="2023-11-08T00:00:00"/>
    <d v="2023-11-08T13:00:00"/>
    <x v="3"/>
    <x v="0"/>
    <s v="Afternoon"/>
    <n v="4"/>
    <n v="10"/>
    <s v="Plan A"/>
  </r>
  <r>
    <s v="PAT5997"/>
    <n v="72"/>
    <x v="2"/>
    <x v="0"/>
    <d v="2023-06-03T00:00:00"/>
    <d v="2023-03-17T00:00:00"/>
    <n v="11"/>
    <x v="5"/>
    <n v="5"/>
    <s v="Dr. Mehta"/>
    <n v="48744"/>
    <x v="4"/>
    <x v="1"/>
    <x v="1"/>
    <d v="2023-02-03T00:00:00"/>
    <d v="2023-03-03T02:00:00"/>
    <x v="3"/>
    <x v="0"/>
    <s v="Afternoon"/>
    <n v="8"/>
    <n v="10"/>
    <s v="Plan C"/>
  </r>
  <r>
    <s v="PAT5998"/>
    <n v="39"/>
    <x v="4"/>
    <x v="3"/>
    <d v="2024-04-20T00:00:00"/>
    <d v="2024-04-26T00:00:00"/>
    <n v="6"/>
    <x v="0"/>
    <n v="2"/>
    <s v="Dr. Patel"/>
    <n v="44159"/>
    <x v="2"/>
    <x v="1"/>
    <x v="0"/>
    <d v="2024-04-15T00:00:00"/>
    <d v="2024-04-16T00:00:00"/>
    <x v="1"/>
    <x v="0"/>
    <s v="Afternoon"/>
    <n v="10"/>
    <n v="8"/>
    <s v="Plan B"/>
  </r>
  <r>
    <s v="PAT5999"/>
    <n v="14"/>
    <x v="1"/>
    <x v="3"/>
    <d v="2023-06-11T00:00:00"/>
    <d v="2023-12-11T00:00:00"/>
    <n v="6"/>
    <x v="0"/>
    <n v="1"/>
    <s v="Dr. Sharma"/>
    <n v="35276"/>
    <x v="4"/>
    <x v="0"/>
    <x v="0"/>
    <d v="2023-06-11T00:00:00"/>
    <d v="2023-07-11T20:00:00"/>
    <x v="0"/>
    <x v="0"/>
    <s v="Afternoon"/>
    <n v="8"/>
    <n v="10"/>
    <s v="Plan 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1E098-17C1-4413-AC7C-03C2D78F9801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22"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numFmtId="22"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tay Duration (days)" fld="6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0E104-41E9-459E-96D7-E8AC891805BC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H29" firstHeaderRow="1" firstDataRow="2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tient ID" fld="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!$A$1:$W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968F2-DDE5-42D4-B806-E787D621E6CB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2">
    <pivotField dataField="1" showAll="0"/>
    <pivotField showAll="0"/>
    <pivotField showAll="0"/>
    <pivotField showAll="0"/>
    <pivotField numFmtId="22" showAll="0"/>
    <pivotField numFmtId="22"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B7F12-4B25-42D5-A558-8B2D0949AB2A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22">
    <pivotField showAll="0"/>
    <pivotField showAll="0"/>
    <pivotField showAll="0"/>
    <pivotField showAll="0"/>
    <pivotField numFmtId="22" showAll="0"/>
    <pivotField numFmtId="22"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reatment Cost" fld="10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8927D-638A-4804-8D39-8928034F47A3}" name="PivotTable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28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Patient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!$A$1:$W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0EC3E-3CA5-4CC1-93AC-9A90091F02F4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40" firstHeaderRow="1" firstDataRow="1" firstDataCol="1"/>
  <pivotFields count="22">
    <pivotField dataField="1" showAll="0"/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</pivotFields>
  <rowFields count="2">
    <field x="3"/>
    <field x="11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Pati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FB5E8-17BE-462D-BF09-DA5456E1CE7A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6" firstHeaderRow="1" firstDataRow="1" firstDataCol="1"/>
  <pivotFields count="22">
    <pivotField dataField="1"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Patient ID" fld="0" subtotal="count" showDataAs="percentOfTotal" baseField="12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730B5-E3B0-4EE0-B976-A529ACE2AA75}" name="PivotTable1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10" firstHeaderRow="0" firstDataRow="1" firstDataCol="1"/>
  <pivotFields count="22">
    <pivotField dataField="1" showAll="0"/>
    <pivotField showAll="0"/>
    <pivotField showAll="0"/>
    <pivotField axis="axisRow" showAll="0">
      <items count="7">
        <item x="4"/>
        <item x="3"/>
        <item x="2"/>
        <item x="1"/>
        <item x="0"/>
        <item x="5"/>
        <item t="default"/>
      </items>
    </pivotField>
    <pivotField numFmtId="22" showAll="0"/>
    <pivotField numFmtId="22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ID" fld="0" subtotal="count" baseField="3" baseItem="0"/>
    <dataField name="Count of Doctor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C2B6E-63DF-483F-9B86-0DA6E9FFE593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0" firstHeaderRow="1" firstDataRow="2" firstDataCol="1"/>
  <pivotFields count="22"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axis="axisRow" showAll="0">
      <items count="6">
        <item x="1"/>
        <item x="2"/>
        <item x="4"/>
        <item x="3"/>
        <item x="0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Test Result" fld="17" subtotal="count" baseField="16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9046-3D2E-4A9A-A57A-77203251F62E}">
  <dimension ref="A1:Z1003"/>
  <sheetViews>
    <sheetView tabSelected="1" workbookViewId="0"/>
  </sheetViews>
  <sheetFormatPr defaultRowHeight="13.8"/>
  <cols>
    <col min="1" max="1" width="9.8984375" bestFit="1" customWidth="1"/>
    <col min="2" max="2" width="4.296875" bestFit="1" customWidth="1"/>
    <col min="3" max="3" width="11.59765625" customWidth="1"/>
    <col min="4" max="4" width="16.3984375" bestFit="1" customWidth="1"/>
    <col min="5" max="5" width="15.296875" bestFit="1" customWidth="1"/>
    <col min="6" max="7" width="15.296875" customWidth="1"/>
    <col min="8" max="8" width="14.8984375" bestFit="1" customWidth="1"/>
    <col min="9" max="9" width="19.3984375" bestFit="1" customWidth="1"/>
    <col min="10" max="10" width="18.296875" bestFit="1" customWidth="1"/>
    <col min="11" max="11" width="17.59765625" bestFit="1" customWidth="1"/>
    <col min="12" max="12" width="10.8984375" bestFit="1" customWidth="1"/>
    <col min="13" max="13" width="15.09765625" style="9" bestFit="1" customWidth="1"/>
    <col min="14" max="14" width="10.3984375" customWidth="1"/>
    <col min="15" max="15" width="13.8984375" bestFit="1" customWidth="1"/>
    <col min="16" max="16" width="10.3984375" bestFit="1" customWidth="1"/>
    <col min="17" max="17" width="17.69921875" bestFit="1" customWidth="1"/>
    <col min="18" max="19" width="17.69921875" customWidth="1"/>
    <col min="20" max="20" width="17.69921875" bestFit="1" customWidth="1"/>
    <col min="21" max="21" width="10.8984375" bestFit="1" customWidth="1"/>
    <col min="22" max="22" width="11.09765625" bestFit="1" customWidth="1"/>
    <col min="23" max="23" width="9.59765625" bestFit="1" customWidth="1"/>
    <col min="24" max="24" width="18.8984375" bestFit="1" customWidth="1"/>
    <col min="25" max="25" width="20" bestFit="1" customWidth="1"/>
    <col min="26" max="26" width="14.69921875" bestFit="1" customWidth="1"/>
  </cols>
  <sheetData>
    <row r="1" spans="1:26">
      <c r="A1" s="1" t="s">
        <v>0</v>
      </c>
      <c r="B1" s="1" t="s">
        <v>1</v>
      </c>
      <c r="C1" s="1" t="s">
        <v>1059</v>
      </c>
      <c r="D1" s="1" t="s">
        <v>2</v>
      </c>
      <c r="E1" s="1" t="s">
        <v>3</v>
      </c>
      <c r="F1" s="7" t="s">
        <v>1103</v>
      </c>
      <c r="G1" s="7" t="s">
        <v>1069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8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2" t="s">
        <v>1108</v>
      </c>
      <c r="S1" s="12" t="s">
        <v>1109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26">
      <c r="A2" t="s">
        <v>21</v>
      </c>
      <c r="B2">
        <v>52</v>
      </c>
      <c r="C2" t="str">
        <f>IF(B2&lt;18,"0-17",IF(B2&lt;=35,"18-35",IF(B2&lt;=50,"36-50",IF(B2&lt;=65,"51-65","66+"))))</f>
        <v>51-65</v>
      </c>
      <c r="D2" t="s">
        <v>22</v>
      </c>
      <c r="E2" s="2">
        <v>45041</v>
      </c>
      <c r="F2" s="2" t="str">
        <f ca="1">IF(E2&gt;=EDATE(TODAY(),-12),"Yes","No")</f>
        <v>No</v>
      </c>
      <c r="G2" s="2" t="str">
        <f>TEXT(E2,"mmm-yyyy")</f>
        <v>Apr-2023</v>
      </c>
      <c r="H2" s="2">
        <v>45082</v>
      </c>
      <c r="I2">
        <v>11</v>
      </c>
      <c r="J2" t="s">
        <v>23</v>
      </c>
      <c r="K2">
        <v>3</v>
      </c>
      <c r="L2" t="s">
        <v>24</v>
      </c>
      <c r="M2" s="9">
        <v>40901</v>
      </c>
      <c r="N2" t="s">
        <v>25</v>
      </c>
      <c r="O2" t="s">
        <v>26</v>
      </c>
      <c r="P2" t="s">
        <v>27</v>
      </c>
      <c r="Q2" s="2">
        <v>45038</v>
      </c>
      <c r="R2" s="13">
        <f>(T2-Q2)*1440</f>
        <v>720</v>
      </c>
      <c r="S2" s="13">
        <f>AVERAGE(R2:R500)</f>
        <v>-235.79158316623469</v>
      </c>
      <c r="T2" s="2">
        <v>45038.5</v>
      </c>
      <c r="U2" t="s">
        <v>28</v>
      </c>
      <c r="V2" t="s">
        <v>29</v>
      </c>
      <c r="W2" t="s">
        <v>30</v>
      </c>
      <c r="X2">
        <v>9</v>
      </c>
      <c r="Y2">
        <v>12</v>
      </c>
      <c r="Z2" t="s">
        <v>31</v>
      </c>
    </row>
    <row r="3" spans="1:26">
      <c r="A3" t="s">
        <v>32</v>
      </c>
      <c r="B3">
        <v>15</v>
      </c>
      <c r="C3" t="str">
        <f t="shared" ref="C3:C66" si="0">IF(B3&lt;18,"0-17",IF(B3&lt;=35,"18-35",IF(B3&lt;=50,"36-50",IF(B3&lt;=65,"51-65","66+"))))</f>
        <v>0-17</v>
      </c>
      <c r="D3" t="s">
        <v>33</v>
      </c>
      <c r="E3" s="2">
        <v>44952</v>
      </c>
      <c r="F3" s="2" t="str">
        <f t="shared" ref="F3:F66" ca="1" si="1">IF(E3&gt;=EDATE(TODAY(),-12),"Yes","No")</f>
        <v>No</v>
      </c>
      <c r="G3" s="2" t="str">
        <f t="shared" ref="G3:G66" si="2">TEXT(E3,"mmm-yyyy")</f>
        <v>Jan-2023</v>
      </c>
      <c r="H3" s="2">
        <v>44959</v>
      </c>
      <c r="I3">
        <v>7</v>
      </c>
      <c r="J3" t="s">
        <v>34</v>
      </c>
      <c r="K3">
        <v>2</v>
      </c>
      <c r="L3" t="s">
        <v>35</v>
      </c>
      <c r="M3" s="9">
        <v>49380</v>
      </c>
      <c r="N3" t="s">
        <v>36</v>
      </c>
      <c r="O3" t="s">
        <v>26</v>
      </c>
      <c r="P3" t="s">
        <v>27</v>
      </c>
      <c r="Q3" s="2">
        <v>44948</v>
      </c>
      <c r="R3" s="13">
        <f t="shared" ref="R3:R66" si="3">(T3-Q3)*1440</f>
        <v>1260</v>
      </c>
      <c r="S3" s="13">
        <f t="shared" ref="S3:S66" si="4">AVERAGE(R3:R501)</f>
        <v>-234.70941883757737</v>
      </c>
      <c r="T3" s="2">
        <v>44948.875</v>
      </c>
      <c r="U3" t="s">
        <v>37</v>
      </c>
      <c r="V3" t="s">
        <v>38</v>
      </c>
      <c r="W3" t="s">
        <v>30</v>
      </c>
      <c r="X3">
        <v>9</v>
      </c>
      <c r="Y3">
        <v>10</v>
      </c>
      <c r="Z3" t="s">
        <v>31</v>
      </c>
    </row>
    <row r="4" spans="1:26">
      <c r="A4" t="s">
        <v>39</v>
      </c>
      <c r="B4">
        <v>72</v>
      </c>
      <c r="C4" t="str">
        <f t="shared" si="0"/>
        <v>66+</v>
      </c>
      <c r="D4" t="s">
        <v>22</v>
      </c>
      <c r="E4" s="2">
        <v>45179</v>
      </c>
      <c r="F4" s="2" t="str">
        <f t="shared" ca="1" si="1"/>
        <v>No</v>
      </c>
      <c r="G4" s="2" t="str">
        <f t="shared" si="2"/>
        <v>Sep-2023</v>
      </c>
      <c r="H4" s="2">
        <v>45240</v>
      </c>
      <c r="I4">
        <v>2</v>
      </c>
      <c r="J4" t="s">
        <v>40</v>
      </c>
      <c r="K4">
        <v>5</v>
      </c>
      <c r="L4" t="s">
        <v>24</v>
      </c>
      <c r="M4" s="9">
        <v>25493</v>
      </c>
      <c r="N4" t="s">
        <v>25</v>
      </c>
      <c r="O4" t="s">
        <v>26</v>
      </c>
      <c r="P4" t="s">
        <v>41</v>
      </c>
      <c r="Q4" s="2">
        <v>45179</v>
      </c>
      <c r="R4" s="13">
        <f t="shared" si="3"/>
        <v>120.00000000349246</v>
      </c>
      <c r="S4" s="13">
        <f t="shared" si="4"/>
        <v>-235.31062124239398</v>
      </c>
      <c r="T4" s="2">
        <v>45179.083333333336</v>
      </c>
      <c r="U4" t="s">
        <v>42</v>
      </c>
      <c r="V4" t="s">
        <v>38</v>
      </c>
      <c r="W4" t="s">
        <v>43</v>
      </c>
      <c r="X4">
        <v>10</v>
      </c>
      <c r="Y4">
        <v>10</v>
      </c>
      <c r="Z4" t="s">
        <v>31</v>
      </c>
    </row>
    <row r="5" spans="1:26">
      <c r="A5" t="s">
        <v>44</v>
      </c>
      <c r="B5">
        <v>61</v>
      </c>
      <c r="C5" t="str">
        <f t="shared" si="0"/>
        <v>51-65</v>
      </c>
      <c r="D5" t="s">
        <v>45</v>
      </c>
      <c r="E5" s="2">
        <v>45147</v>
      </c>
      <c r="F5" s="2" t="str">
        <f t="shared" ca="1" si="1"/>
        <v>No</v>
      </c>
      <c r="G5" s="2" t="str">
        <f t="shared" si="2"/>
        <v>Aug-2023</v>
      </c>
      <c r="H5" s="2">
        <v>45239</v>
      </c>
      <c r="I5">
        <v>3</v>
      </c>
      <c r="J5" t="s">
        <v>34</v>
      </c>
      <c r="K5">
        <v>3</v>
      </c>
      <c r="L5" t="s">
        <v>46</v>
      </c>
      <c r="M5" s="9">
        <v>23595</v>
      </c>
      <c r="N5" t="s">
        <v>25</v>
      </c>
      <c r="O5" t="s">
        <v>26</v>
      </c>
      <c r="P5" t="s">
        <v>27</v>
      </c>
      <c r="Q5" s="2">
        <v>45025</v>
      </c>
      <c r="R5" s="13">
        <f t="shared" si="3"/>
        <v>840.00000000349246</v>
      </c>
      <c r="S5" s="13">
        <f t="shared" si="4"/>
        <v>-143.68737474940801</v>
      </c>
      <c r="T5" s="2">
        <v>45025.583333333336</v>
      </c>
      <c r="U5" t="s">
        <v>42</v>
      </c>
      <c r="V5" t="s">
        <v>29</v>
      </c>
      <c r="W5" t="s">
        <v>47</v>
      </c>
      <c r="X5">
        <v>7</v>
      </c>
      <c r="Y5">
        <v>12</v>
      </c>
      <c r="Z5" t="s">
        <v>48</v>
      </c>
    </row>
    <row r="6" spans="1:26">
      <c r="A6" t="s">
        <v>49</v>
      </c>
      <c r="B6">
        <v>21</v>
      </c>
      <c r="C6" t="str">
        <f t="shared" si="0"/>
        <v>18-35</v>
      </c>
      <c r="D6" t="s">
        <v>41</v>
      </c>
      <c r="E6" s="2">
        <v>45155</v>
      </c>
      <c r="F6" s="2" t="str">
        <f t="shared" ca="1" si="1"/>
        <v>No</v>
      </c>
      <c r="G6" s="2" t="str">
        <f t="shared" si="2"/>
        <v>Aug-2023</v>
      </c>
      <c r="H6" s="2">
        <v>45156</v>
      </c>
      <c r="I6">
        <v>1</v>
      </c>
      <c r="J6" t="s">
        <v>50</v>
      </c>
      <c r="K6">
        <v>1</v>
      </c>
      <c r="L6" t="s">
        <v>46</v>
      </c>
      <c r="M6" s="9">
        <v>26923</v>
      </c>
      <c r="N6" t="s">
        <v>36</v>
      </c>
      <c r="O6" t="s">
        <v>26</v>
      </c>
      <c r="P6" t="s">
        <v>41</v>
      </c>
      <c r="Q6" s="2">
        <v>45154</v>
      </c>
      <c r="R6" s="13">
        <f t="shared" si="3"/>
        <v>2280.0000000034925</v>
      </c>
      <c r="S6" s="13">
        <f t="shared" si="4"/>
        <v>-55.671342685279754</v>
      </c>
      <c r="T6" s="2">
        <v>45155.583333333336</v>
      </c>
      <c r="U6" t="s">
        <v>42</v>
      </c>
      <c r="V6" t="s">
        <v>29</v>
      </c>
      <c r="W6" t="s">
        <v>47</v>
      </c>
      <c r="X6">
        <v>5</v>
      </c>
      <c r="Y6">
        <v>10</v>
      </c>
      <c r="Z6" t="s">
        <v>31</v>
      </c>
    </row>
    <row r="7" spans="1:26">
      <c r="A7" t="s">
        <v>51</v>
      </c>
      <c r="B7">
        <v>83</v>
      </c>
      <c r="C7" t="str">
        <f t="shared" si="0"/>
        <v>66+</v>
      </c>
      <c r="D7" t="s">
        <v>52</v>
      </c>
      <c r="E7" s="2">
        <v>45069</v>
      </c>
      <c r="F7" s="2" t="str">
        <f t="shared" ca="1" si="1"/>
        <v>No</v>
      </c>
      <c r="G7" s="2" t="str">
        <f t="shared" si="2"/>
        <v>May-2023</v>
      </c>
      <c r="H7" s="2">
        <v>45070</v>
      </c>
      <c r="I7">
        <v>1</v>
      </c>
      <c r="J7" t="s">
        <v>50</v>
      </c>
      <c r="K7">
        <v>3</v>
      </c>
      <c r="L7" t="s">
        <v>24</v>
      </c>
      <c r="M7" s="9">
        <v>14735</v>
      </c>
      <c r="N7" t="s">
        <v>53</v>
      </c>
      <c r="O7" t="s">
        <v>54</v>
      </c>
      <c r="P7" t="s">
        <v>27</v>
      </c>
      <c r="Q7" s="2">
        <v>45064</v>
      </c>
      <c r="R7" s="13">
        <f t="shared" si="3"/>
        <v>599.99999999650754</v>
      </c>
      <c r="S7" s="13">
        <f t="shared" si="4"/>
        <v>30.180360721533873</v>
      </c>
      <c r="T7" s="2">
        <v>45064.416666666664</v>
      </c>
      <c r="U7" t="s">
        <v>55</v>
      </c>
      <c r="V7" t="s">
        <v>38</v>
      </c>
      <c r="W7" t="s">
        <v>43</v>
      </c>
      <c r="X7">
        <v>9</v>
      </c>
      <c r="Y7">
        <v>12</v>
      </c>
      <c r="Z7" t="s">
        <v>48</v>
      </c>
    </row>
    <row r="8" spans="1:26">
      <c r="A8" t="s">
        <v>56</v>
      </c>
      <c r="B8">
        <v>87</v>
      </c>
      <c r="C8" t="str">
        <f t="shared" si="0"/>
        <v>66+</v>
      </c>
      <c r="D8" t="s">
        <v>52</v>
      </c>
      <c r="E8" s="2">
        <v>45031</v>
      </c>
      <c r="F8" s="2" t="str">
        <f t="shared" ca="1" si="1"/>
        <v>No</v>
      </c>
      <c r="G8" s="2" t="str">
        <f t="shared" si="2"/>
        <v>Apr-2023</v>
      </c>
      <c r="H8" s="2">
        <v>45036</v>
      </c>
      <c r="I8">
        <v>5</v>
      </c>
      <c r="J8" t="s">
        <v>57</v>
      </c>
      <c r="K8">
        <v>1</v>
      </c>
      <c r="L8" t="s">
        <v>35</v>
      </c>
      <c r="M8" s="9">
        <v>39457</v>
      </c>
      <c r="N8" t="s">
        <v>25</v>
      </c>
      <c r="O8" t="s">
        <v>54</v>
      </c>
      <c r="P8" t="s">
        <v>41</v>
      </c>
      <c r="Q8" s="2">
        <v>45264</v>
      </c>
      <c r="R8" s="13">
        <f t="shared" si="3"/>
        <v>-337080.00000000349</v>
      </c>
      <c r="S8" s="13">
        <f t="shared" si="4"/>
        <v>30.180360721533873</v>
      </c>
      <c r="T8" s="2">
        <v>45029.916666666664</v>
      </c>
      <c r="U8" t="s">
        <v>28</v>
      </c>
      <c r="V8" t="s">
        <v>29</v>
      </c>
      <c r="W8" t="s">
        <v>30</v>
      </c>
      <c r="X8">
        <v>10</v>
      </c>
      <c r="Y8">
        <v>8</v>
      </c>
      <c r="Z8" t="s">
        <v>31</v>
      </c>
    </row>
    <row r="9" spans="1:26">
      <c r="A9" t="s">
        <v>58</v>
      </c>
      <c r="B9">
        <v>75</v>
      </c>
      <c r="C9" t="str">
        <f t="shared" si="0"/>
        <v>66+</v>
      </c>
      <c r="D9" t="s">
        <v>33</v>
      </c>
      <c r="E9" s="2">
        <v>45016</v>
      </c>
      <c r="F9" s="2" t="str">
        <f t="shared" ca="1" si="1"/>
        <v>No</v>
      </c>
      <c r="G9" s="2" t="str">
        <f t="shared" si="2"/>
        <v>Mar-2023</v>
      </c>
      <c r="H9" s="2">
        <v>45142</v>
      </c>
      <c r="I9">
        <v>8</v>
      </c>
      <c r="J9" t="s">
        <v>50</v>
      </c>
      <c r="K9">
        <v>5</v>
      </c>
      <c r="L9" t="s">
        <v>24</v>
      </c>
      <c r="M9" s="9">
        <v>47531</v>
      </c>
      <c r="N9" t="s">
        <v>25</v>
      </c>
      <c r="O9" t="s">
        <v>54</v>
      </c>
      <c r="P9" t="s">
        <v>41</v>
      </c>
      <c r="Q9" s="2">
        <v>45014</v>
      </c>
      <c r="R9" s="13">
        <f t="shared" si="3"/>
        <v>1560.0000000034925</v>
      </c>
      <c r="S9" s="13">
        <f t="shared" si="4"/>
        <v>710.14028056121322</v>
      </c>
      <c r="T9" s="2">
        <v>45015.083333333336</v>
      </c>
      <c r="U9" t="s">
        <v>55</v>
      </c>
      <c r="V9" t="s">
        <v>29</v>
      </c>
      <c r="W9" t="s">
        <v>30</v>
      </c>
      <c r="X9">
        <v>4</v>
      </c>
      <c r="Y9">
        <v>8</v>
      </c>
      <c r="Z9" t="s">
        <v>48</v>
      </c>
    </row>
    <row r="10" spans="1:26">
      <c r="A10" t="s">
        <v>59</v>
      </c>
      <c r="B10">
        <v>75</v>
      </c>
      <c r="C10" t="str">
        <f t="shared" si="0"/>
        <v>66+</v>
      </c>
      <c r="D10" t="s">
        <v>45</v>
      </c>
      <c r="E10" s="2">
        <v>45507</v>
      </c>
      <c r="F10" s="2" t="str">
        <f t="shared" ca="1" si="1"/>
        <v>No</v>
      </c>
      <c r="G10" s="2" t="str">
        <f t="shared" si="2"/>
        <v>Aug-2024</v>
      </c>
      <c r="H10" s="2">
        <v>45568</v>
      </c>
      <c r="I10">
        <v>2</v>
      </c>
      <c r="J10" t="s">
        <v>34</v>
      </c>
      <c r="K10">
        <v>5</v>
      </c>
      <c r="L10" t="s">
        <v>24</v>
      </c>
      <c r="M10" s="9">
        <v>12727</v>
      </c>
      <c r="N10" t="s">
        <v>60</v>
      </c>
      <c r="O10" t="s">
        <v>54</v>
      </c>
      <c r="P10" t="s">
        <v>27</v>
      </c>
      <c r="Q10" s="2">
        <v>45446</v>
      </c>
      <c r="R10" s="13">
        <f t="shared" si="3"/>
        <v>300.00000000349246</v>
      </c>
      <c r="S10" s="13">
        <f t="shared" si="4"/>
        <v>795.6312625251411</v>
      </c>
      <c r="T10" s="2">
        <v>45446.208333333336</v>
      </c>
      <c r="U10" t="s">
        <v>55</v>
      </c>
      <c r="V10" t="s">
        <v>29</v>
      </c>
      <c r="W10" t="s">
        <v>47</v>
      </c>
      <c r="X10">
        <v>9</v>
      </c>
      <c r="Y10">
        <v>12</v>
      </c>
      <c r="Z10" t="s">
        <v>48</v>
      </c>
    </row>
    <row r="11" spans="1:26">
      <c r="A11" t="s">
        <v>61</v>
      </c>
      <c r="B11">
        <v>88</v>
      </c>
      <c r="C11" t="str">
        <f t="shared" si="0"/>
        <v>66+</v>
      </c>
      <c r="D11" t="s">
        <v>62</v>
      </c>
      <c r="E11" s="2">
        <v>44959</v>
      </c>
      <c r="F11" s="2" t="str">
        <f t="shared" ca="1" si="1"/>
        <v>No</v>
      </c>
      <c r="G11" s="2" t="str">
        <f t="shared" si="2"/>
        <v>Feb-2023</v>
      </c>
      <c r="H11" s="2">
        <v>45018</v>
      </c>
      <c r="I11">
        <v>2</v>
      </c>
      <c r="J11" t="s">
        <v>63</v>
      </c>
      <c r="K11">
        <v>4</v>
      </c>
      <c r="L11" t="s">
        <v>24</v>
      </c>
      <c r="M11" s="9">
        <v>12764</v>
      </c>
      <c r="N11" t="s">
        <v>36</v>
      </c>
      <c r="O11" t="s">
        <v>54</v>
      </c>
      <c r="P11" t="s">
        <v>27</v>
      </c>
      <c r="Q11" s="2">
        <v>44956</v>
      </c>
      <c r="R11" s="13">
        <f t="shared" si="3"/>
        <v>1200.0000000034925</v>
      </c>
      <c r="S11" s="13">
        <f t="shared" si="4"/>
        <v>797.19438877763912</v>
      </c>
      <c r="T11" s="2">
        <v>44956.833333333336</v>
      </c>
      <c r="U11" t="s">
        <v>64</v>
      </c>
      <c r="V11" t="s">
        <v>29</v>
      </c>
      <c r="W11" t="s">
        <v>47</v>
      </c>
      <c r="X11">
        <v>6</v>
      </c>
      <c r="Y11">
        <v>8</v>
      </c>
      <c r="Z11" t="s">
        <v>48</v>
      </c>
    </row>
    <row r="12" spans="1:26">
      <c r="A12" t="s">
        <v>65</v>
      </c>
      <c r="B12">
        <v>24</v>
      </c>
      <c r="C12" t="str">
        <f t="shared" si="0"/>
        <v>18-35</v>
      </c>
      <c r="D12" t="s">
        <v>45</v>
      </c>
      <c r="E12" s="2">
        <v>44957</v>
      </c>
      <c r="F12" s="2" t="str">
        <f t="shared" ca="1" si="1"/>
        <v>No</v>
      </c>
      <c r="G12" s="2" t="str">
        <f t="shared" si="2"/>
        <v>Jan-2023</v>
      </c>
      <c r="H12" s="2">
        <v>45018</v>
      </c>
      <c r="I12">
        <v>4</v>
      </c>
      <c r="J12" t="s">
        <v>63</v>
      </c>
      <c r="K12">
        <v>4</v>
      </c>
      <c r="L12" t="s">
        <v>66</v>
      </c>
      <c r="M12" s="9">
        <v>32599</v>
      </c>
      <c r="N12" t="s">
        <v>67</v>
      </c>
      <c r="O12" t="s">
        <v>26</v>
      </c>
      <c r="P12" t="s">
        <v>27</v>
      </c>
      <c r="Q12" s="2">
        <v>44957</v>
      </c>
      <c r="R12" s="13">
        <f t="shared" si="3"/>
        <v>660.00000000349246</v>
      </c>
      <c r="S12" s="13">
        <f t="shared" si="4"/>
        <v>880.52104208425237</v>
      </c>
      <c r="T12" s="2">
        <v>44957.458333333336</v>
      </c>
      <c r="U12" t="s">
        <v>28</v>
      </c>
      <c r="V12" t="s">
        <v>29</v>
      </c>
      <c r="W12" t="s">
        <v>47</v>
      </c>
      <c r="X12">
        <v>6</v>
      </c>
      <c r="Y12">
        <v>10</v>
      </c>
      <c r="Z12" t="s">
        <v>68</v>
      </c>
    </row>
    <row r="13" spans="1:26">
      <c r="A13" t="s">
        <v>69</v>
      </c>
      <c r="B13">
        <v>3</v>
      </c>
      <c r="C13" t="str">
        <f t="shared" si="0"/>
        <v>0-17</v>
      </c>
      <c r="D13" t="s">
        <v>52</v>
      </c>
      <c r="E13" s="2">
        <v>45081</v>
      </c>
      <c r="F13" s="2" t="str">
        <f t="shared" ca="1" si="1"/>
        <v>No</v>
      </c>
      <c r="G13" s="2" t="str">
        <f t="shared" si="2"/>
        <v>Jun-2023</v>
      </c>
      <c r="H13" s="2">
        <v>45037</v>
      </c>
      <c r="I13">
        <v>15</v>
      </c>
      <c r="J13" t="s">
        <v>57</v>
      </c>
      <c r="K13">
        <v>4</v>
      </c>
      <c r="L13" t="s">
        <v>46</v>
      </c>
      <c r="M13" s="9">
        <v>5818</v>
      </c>
      <c r="N13" t="s">
        <v>53</v>
      </c>
      <c r="O13" t="s">
        <v>26</v>
      </c>
      <c r="P13" t="s">
        <v>41</v>
      </c>
      <c r="Q13" s="2">
        <v>44961</v>
      </c>
      <c r="R13" s="13">
        <f t="shared" si="3"/>
        <v>41099.999999996508</v>
      </c>
      <c r="S13" s="13">
        <f t="shared" si="4"/>
        <v>966.13226452913511</v>
      </c>
      <c r="T13" s="2">
        <v>44989.541666666664</v>
      </c>
      <c r="U13" t="s">
        <v>42</v>
      </c>
      <c r="V13" t="s">
        <v>29</v>
      </c>
      <c r="W13" t="s">
        <v>47</v>
      </c>
      <c r="X13">
        <v>4</v>
      </c>
      <c r="Y13">
        <v>8</v>
      </c>
      <c r="Z13" t="s">
        <v>31</v>
      </c>
    </row>
    <row r="14" spans="1:26">
      <c r="A14" t="s">
        <v>70</v>
      </c>
      <c r="B14">
        <v>22</v>
      </c>
      <c r="C14" t="str">
        <f t="shared" si="0"/>
        <v>18-35</v>
      </c>
      <c r="D14" t="s">
        <v>52</v>
      </c>
      <c r="E14" s="2">
        <v>45268</v>
      </c>
      <c r="F14" s="2" t="str">
        <f t="shared" ca="1" si="1"/>
        <v>No</v>
      </c>
      <c r="G14" s="2" t="str">
        <f t="shared" si="2"/>
        <v>Dec-2023</v>
      </c>
      <c r="H14" s="2">
        <v>45159</v>
      </c>
      <c r="I14">
        <v>9</v>
      </c>
      <c r="J14" t="s">
        <v>23</v>
      </c>
      <c r="K14">
        <v>5</v>
      </c>
      <c r="L14" t="s">
        <v>71</v>
      </c>
      <c r="M14" s="9">
        <v>42289</v>
      </c>
      <c r="N14" t="s">
        <v>53</v>
      </c>
      <c r="O14" t="s">
        <v>54</v>
      </c>
      <c r="P14" t="s">
        <v>27</v>
      </c>
      <c r="Q14" s="2">
        <v>45238</v>
      </c>
      <c r="R14" s="13">
        <f t="shared" si="3"/>
        <v>959.99999999650754</v>
      </c>
      <c r="S14" s="13">
        <f t="shared" si="4"/>
        <v>886.77354709426538</v>
      </c>
      <c r="T14" s="2">
        <v>45238.666666666664</v>
      </c>
      <c r="U14" t="s">
        <v>37</v>
      </c>
      <c r="V14" t="s">
        <v>29</v>
      </c>
      <c r="W14" t="s">
        <v>47</v>
      </c>
      <c r="X14">
        <v>11</v>
      </c>
      <c r="Y14">
        <v>8</v>
      </c>
      <c r="Z14" t="s">
        <v>68</v>
      </c>
    </row>
    <row r="15" spans="1:26">
      <c r="A15" t="s">
        <v>72</v>
      </c>
      <c r="B15">
        <v>53</v>
      </c>
      <c r="C15" t="str">
        <f t="shared" si="0"/>
        <v>51-65</v>
      </c>
      <c r="D15" t="s">
        <v>41</v>
      </c>
      <c r="E15" s="2">
        <v>45165</v>
      </c>
      <c r="F15" s="2" t="str">
        <f t="shared" ca="1" si="1"/>
        <v>No</v>
      </c>
      <c r="G15" s="2" t="str">
        <f t="shared" si="2"/>
        <v>Aug-2023</v>
      </c>
      <c r="H15" s="2">
        <v>45168</v>
      </c>
      <c r="I15">
        <v>3</v>
      </c>
      <c r="J15" t="s">
        <v>34</v>
      </c>
      <c r="K15">
        <v>2</v>
      </c>
      <c r="L15" t="s">
        <v>71</v>
      </c>
      <c r="M15" s="9">
        <v>38892</v>
      </c>
      <c r="N15" t="s">
        <v>36</v>
      </c>
      <c r="O15" t="s">
        <v>54</v>
      </c>
      <c r="P15" t="s">
        <v>27</v>
      </c>
      <c r="Q15" s="2">
        <v>45161</v>
      </c>
      <c r="R15" s="13">
        <f t="shared" si="3"/>
        <v>2219.9999999965075</v>
      </c>
      <c r="S15" s="13">
        <f t="shared" si="4"/>
        <v>888.33667334678432</v>
      </c>
      <c r="T15" s="2">
        <v>45162.541666666664</v>
      </c>
      <c r="U15" t="s">
        <v>42</v>
      </c>
      <c r="V15" t="s">
        <v>29</v>
      </c>
      <c r="W15" t="s">
        <v>30</v>
      </c>
      <c r="X15">
        <v>7</v>
      </c>
      <c r="Y15">
        <v>12</v>
      </c>
      <c r="Z15" t="s">
        <v>31</v>
      </c>
    </row>
    <row r="16" spans="1:26">
      <c r="A16" t="s">
        <v>73</v>
      </c>
      <c r="B16">
        <v>2</v>
      </c>
      <c r="C16" t="str">
        <f t="shared" si="0"/>
        <v>0-17</v>
      </c>
      <c r="D16" t="s">
        <v>45</v>
      </c>
      <c r="E16" s="2">
        <v>45297</v>
      </c>
      <c r="F16" s="2" t="str">
        <f t="shared" ca="1" si="1"/>
        <v>No</v>
      </c>
      <c r="G16" s="2" t="str">
        <f t="shared" si="2"/>
        <v>Jan-2024</v>
      </c>
      <c r="H16" s="2">
        <v>45510</v>
      </c>
      <c r="I16">
        <v>7</v>
      </c>
      <c r="J16" t="s">
        <v>34</v>
      </c>
      <c r="K16">
        <v>5</v>
      </c>
      <c r="L16" t="s">
        <v>66</v>
      </c>
      <c r="M16" s="9">
        <v>10660</v>
      </c>
      <c r="N16" t="s">
        <v>60</v>
      </c>
      <c r="O16" t="s">
        <v>26</v>
      </c>
      <c r="P16" t="s">
        <v>27</v>
      </c>
      <c r="Q16" s="2">
        <v>45442</v>
      </c>
      <c r="R16" s="13">
        <f t="shared" si="3"/>
        <v>1499.9999999965075</v>
      </c>
      <c r="S16" s="13">
        <f t="shared" si="4"/>
        <v>884.48897795601681</v>
      </c>
      <c r="T16" s="2">
        <v>45443.041666666664</v>
      </c>
      <c r="U16" t="s">
        <v>55</v>
      </c>
      <c r="V16" t="s">
        <v>29</v>
      </c>
      <c r="W16" t="s">
        <v>30</v>
      </c>
      <c r="X16">
        <v>11</v>
      </c>
      <c r="Y16">
        <v>10</v>
      </c>
      <c r="Z16" t="s">
        <v>31</v>
      </c>
    </row>
    <row r="17" spans="1:26">
      <c r="A17" t="s">
        <v>74</v>
      </c>
      <c r="B17">
        <v>88</v>
      </c>
      <c r="C17" t="str">
        <f t="shared" si="0"/>
        <v>66+</v>
      </c>
      <c r="D17" t="s">
        <v>45</v>
      </c>
      <c r="E17" s="2">
        <v>44954</v>
      </c>
      <c r="F17" s="2" t="str">
        <f t="shared" ca="1" si="1"/>
        <v>No</v>
      </c>
      <c r="G17" s="2" t="str">
        <f t="shared" si="2"/>
        <v>Jan-2023</v>
      </c>
      <c r="H17" s="2">
        <v>45048</v>
      </c>
      <c r="I17">
        <v>8</v>
      </c>
      <c r="J17" t="s">
        <v>50</v>
      </c>
      <c r="K17">
        <v>3</v>
      </c>
      <c r="L17" t="s">
        <v>24</v>
      </c>
      <c r="M17" s="9">
        <v>34521</v>
      </c>
      <c r="N17" t="s">
        <v>60</v>
      </c>
      <c r="O17" t="s">
        <v>54</v>
      </c>
      <c r="P17" t="s">
        <v>41</v>
      </c>
      <c r="Q17" s="2">
        <v>44951</v>
      </c>
      <c r="R17" s="13">
        <f t="shared" si="3"/>
        <v>2640.0000000034925</v>
      </c>
      <c r="S17" s="13">
        <f t="shared" si="4"/>
        <v>972.98597194400679</v>
      </c>
      <c r="T17" s="2">
        <v>44952.833333333336</v>
      </c>
      <c r="U17" t="s">
        <v>28</v>
      </c>
      <c r="V17" t="s">
        <v>29</v>
      </c>
      <c r="W17" t="s">
        <v>30</v>
      </c>
      <c r="X17">
        <v>5</v>
      </c>
      <c r="Y17">
        <v>8</v>
      </c>
      <c r="Z17" t="s">
        <v>68</v>
      </c>
    </row>
    <row r="18" spans="1:26">
      <c r="A18" t="s">
        <v>75</v>
      </c>
      <c r="B18">
        <v>30</v>
      </c>
      <c r="C18" t="str">
        <f t="shared" si="0"/>
        <v>18-35</v>
      </c>
      <c r="D18" t="s">
        <v>52</v>
      </c>
      <c r="E18" s="2">
        <v>45130</v>
      </c>
      <c r="F18" s="2" t="str">
        <f t="shared" ca="1" si="1"/>
        <v>No</v>
      </c>
      <c r="G18" s="2" t="str">
        <f t="shared" si="2"/>
        <v>Jul-2023</v>
      </c>
      <c r="H18" s="2">
        <v>45136</v>
      </c>
      <c r="I18">
        <v>6</v>
      </c>
      <c r="J18" t="s">
        <v>34</v>
      </c>
      <c r="K18">
        <v>5</v>
      </c>
      <c r="L18" t="s">
        <v>66</v>
      </c>
      <c r="M18" s="9">
        <v>43409</v>
      </c>
      <c r="N18" t="s">
        <v>36</v>
      </c>
      <c r="O18" t="s">
        <v>26</v>
      </c>
      <c r="P18" t="s">
        <v>27</v>
      </c>
      <c r="Q18" s="2">
        <v>45128</v>
      </c>
      <c r="R18" s="13">
        <f t="shared" si="3"/>
        <v>2100.0000000034925</v>
      </c>
      <c r="S18" s="13">
        <f t="shared" si="4"/>
        <v>968.41683366744667</v>
      </c>
      <c r="T18" s="2">
        <v>45129.458333333336</v>
      </c>
      <c r="U18" t="s">
        <v>28</v>
      </c>
      <c r="V18" t="s">
        <v>29</v>
      </c>
      <c r="W18" t="s">
        <v>30</v>
      </c>
      <c r="X18">
        <v>11</v>
      </c>
      <c r="Y18">
        <v>8</v>
      </c>
      <c r="Z18" t="s">
        <v>48</v>
      </c>
    </row>
    <row r="19" spans="1:26">
      <c r="A19" t="s">
        <v>76</v>
      </c>
      <c r="B19">
        <v>38</v>
      </c>
      <c r="C19" t="str">
        <f t="shared" si="0"/>
        <v>36-50</v>
      </c>
      <c r="D19" t="s">
        <v>62</v>
      </c>
      <c r="E19" s="2">
        <v>45415</v>
      </c>
      <c r="F19" s="2" t="str">
        <f t="shared" ca="1" si="1"/>
        <v>No</v>
      </c>
      <c r="G19" s="2" t="str">
        <f t="shared" si="2"/>
        <v>May-2024</v>
      </c>
      <c r="H19" s="2">
        <v>45367</v>
      </c>
      <c r="I19">
        <v>11</v>
      </c>
      <c r="J19" t="s">
        <v>40</v>
      </c>
      <c r="K19">
        <v>5</v>
      </c>
      <c r="L19" t="s">
        <v>66</v>
      </c>
      <c r="M19" s="9">
        <v>39470</v>
      </c>
      <c r="N19" t="s">
        <v>60</v>
      </c>
      <c r="O19" t="s">
        <v>54</v>
      </c>
      <c r="P19" t="s">
        <v>41</v>
      </c>
      <c r="Q19" s="2">
        <v>45351</v>
      </c>
      <c r="R19" s="13">
        <f t="shared" si="3"/>
        <v>1319.9999999965075</v>
      </c>
      <c r="S19" s="13">
        <f t="shared" si="4"/>
        <v>1051.0220440882883</v>
      </c>
      <c r="T19" s="2">
        <v>45351.916666666664</v>
      </c>
      <c r="U19" t="s">
        <v>28</v>
      </c>
      <c r="V19" t="s">
        <v>29</v>
      </c>
      <c r="W19" t="s">
        <v>43</v>
      </c>
      <c r="X19">
        <v>5</v>
      </c>
      <c r="Y19">
        <v>12</v>
      </c>
      <c r="Z19" t="s">
        <v>31</v>
      </c>
    </row>
    <row r="20" spans="1:26">
      <c r="A20" t="s">
        <v>77</v>
      </c>
      <c r="B20">
        <v>2</v>
      </c>
      <c r="C20" t="str">
        <f t="shared" si="0"/>
        <v>0-17</v>
      </c>
      <c r="D20" t="s">
        <v>33</v>
      </c>
      <c r="E20" s="2">
        <v>45152</v>
      </c>
      <c r="F20" s="2" t="str">
        <f t="shared" ca="1" si="1"/>
        <v>No</v>
      </c>
      <c r="G20" s="2" t="str">
        <f t="shared" si="2"/>
        <v>Aug-2023</v>
      </c>
      <c r="H20" s="2">
        <v>45164</v>
      </c>
      <c r="I20">
        <v>12</v>
      </c>
      <c r="J20" t="s">
        <v>23</v>
      </c>
      <c r="K20">
        <v>1</v>
      </c>
      <c r="L20" t="s">
        <v>35</v>
      </c>
      <c r="M20" s="9">
        <v>23385</v>
      </c>
      <c r="N20" t="s">
        <v>53</v>
      </c>
      <c r="O20" t="s">
        <v>26</v>
      </c>
      <c r="P20" t="s">
        <v>27</v>
      </c>
      <c r="Q20" s="2">
        <v>45268</v>
      </c>
      <c r="R20" s="13">
        <f t="shared" si="3"/>
        <v>-168420.00000000349</v>
      </c>
      <c r="S20" s="13">
        <f t="shared" si="4"/>
        <v>1052.3446893788764</v>
      </c>
      <c r="T20" s="2">
        <v>45151.041666666664</v>
      </c>
      <c r="U20" t="s">
        <v>64</v>
      </c>
      <c r="V20" t="s">
        <v>29</v>
      </c>
      <c r="W20" t="s">
        <v>30</v>
      </c>
      <c r="X20">
        <v>9</v>
      </c>
      <c r="Y20">
        <v>12</v>
      </c>
      <c r="Z20" t="s">
        <v>48</v>
      </c>
    </row>
    <row r="21" spans="1:26">
      <c r="A21" t="s">
        <v>78</v>
      </c>
      <c r="B21">
        <v>64</v>
      </c>
      <c r="C21" t="str">
        <f t="shared" si="0"/>
        <v>51-65</v>
      </c>
      <c r="D21" t="s">
        <v>33</v>
      </c>
      <c r="E21" s="2">
        <v>45386</v>
      </c>
      <c r="F21" s="2" t="str">
        <f t="shared" ca="1" si="1"/>
        <v>No</v>
      </c>
      <c r="G21" s="2" t="str">
        <f t="shared" si="2"/>
        <v>Apr-2024</v>
      </c>
      <c r="H21" s="2">
        <v>45398</v>
      </c>
      <c r="I21">
        <v>12</v>
      </c>
      <c r="J21" t="s">
        <v>50</v>
      </c>
      <c r="K21">
        <v>1</v>
      </c>
      <c r="L21" t="s">
        <v>46</v>
      </c>
      <c r="M21" s="9">
        <v>28296</v>
      </c>
      <c r="N21" t="s">
        <v>53</v>
      </c>
      <c r="O21" t="s">
        <v>54</v>
      </c>
      <c r="P21" t="s">
        <v>27</v>
      </c>
      <c r="Q21" s="2">
        <v>45355</v>
      </c>
      <c r="R21" s="13">
        <f t="shared" si="3"/>
        <v>87840</v>
      </c>
      <c r="S21" s="13">
        <f t="shared" si="4"/>
        <v>1395.6312625251755</v>
      </c>
      <c r="T21" s="2">
        <v>45416</v>
      </c>
      <c r="U21" t="s">
        <v>42</v>
      </c>
      <c r="V21" t="s">
        <v>29</v>
      </c>
      <c r="W21" t="s">
        <v>43</v>
      </c>
      <c r="X21">
        <v>6</v>
      </c>
      <c r="Y21">
        <v>10</v>
      </c>
      <c r="Z21" t="s">
        <v>68</v>
      </c>
    </row>
    <row r="22" spans="1:26">
      <c r="A22" t="s">
        <v>79</v>
      </c>
      <c r="B22">
        <v>60</v>
      </c>
      <c r="C22" t="str">
        <f t="shared" si="0"/>
        <v>51-65</v>
      </c>
      <c r="D22" t="s">
        <v>45</v>
      </c>
      <c r="E22" s="2">
        <v>45270</v>
      </c>
      <c r="F22" s="2" t="str">
        <f t="shared" ca="1" si="1"/>
        <v>No</v>
      </c>
      <c r="G22" s="2" t="str">
        <f t="shared" si="2"/>
        <v>Dec-2023</v>
      </c>
      <c r="H22" s="2">
        <v>45220</v>
      </c>
      <c r="I22">
        <v>9</v>
      </c>
      <c r="J22" t="s">
        <v>40</v>
      </c>
      <c r="K22">
        <v>1</v>
      </c>
      <c r="L22" t="s">
        <v>71</v>
      </c>
      <c r="M22" s="9">
        <v>28616</v>
      </c>
      <c r="N22" t="s">
        <v>67</v>
      </c>
      <c r="O22" t="s">
        <v>26</v>
      </c>
      <c r="P22" t="s">
        <v>27</v>
      </c>
      <c r="Q22" s="2">
        <v>45270</v>
      </c>
      <c r="R22" s="13">
        <f t="shared" si="3"/>
        <v>540</v>
      </c>
      <c r="S22" s="13">
        <f t="shared" si="4"/>
        <v>1221.7635270542341</v>
      </c>
      <c r="T22" s="2">
        <v>45270.375</v>
      </c>
      <c r="U22" t="s">
        <v>64</v>
      </c>
      <c r="V22" t="s">
        <v>29</v>
      </c>
      <c r="W22" t="s">
        <v>30</v>
      </c>
      <c r="X22">
        <v>7</v>
      </c>
      <c r="Y22">
        <v>8</v>
      </c>
      <c r="Z22" t="s">
        <v>48</v>
      </c>
    </row>
    <row r="23" spans="1:26">
      <c r="A23" t="s">
        <v>80</v>
      </c>
      <c r="B23">
        <v>21</v>
      </c>
      <c r="C23" t="str">
        <f t="shared" si="0"/>
        <v>18-35</v>
      </c>
      <c r="D23" t="s">
        <v>33</v>
      </c>
      <c r="E23" s="2">
        <v>45108</v>
      </c>
      <c r="F23" s="2" t="str">
        <f t="shared" ca="1" si="1"/>
        <v>No</v>
      </c>
      <c r="G23" s="2" t="str">
        <f t="shared" si="2"/>
        <v>Jul-2023</v>
      </c>
      <c r="H23" s="2">
        <v>44940</v>
      </c>
      <c r="I23">
        <v>7</v>
      </c>
      <c r="J23" t="s">
        <v>57</v>
      </c>
      <c r="K23">
        <v>5</v>
      </c>
      <c r="L23" t="s">
        <v>24</v>
      </c>
      <c r="M23" s="9">
        <v>31382</v>
      </c>
      <c r="N23" t="s">
        <v>36</v>
      </c>
      <c r="O23" t="s">
        <v>54</v>
      </c>
      <c r="P23" t="s">
        <v>27</v>
      </c>
      <c r="Q23" s="2">
        <v>45108</v>
      </c>
      <c r="R23" s="13">
        <f t="shared" si="3"/>
        <v>45900</v>
      </c>
      <c r="S23" s="13">
        <f t="shared" si="4"/>
        <v>1226.0921843688634</v>
      </c>
      <c r="T23" s="2">
        <v>45139.875</v>
      </c>
      <c r="U23" t="s">
        <v>37</v>
      </c>
      <c r="V23" t="s">
        <v>29</v>
      </c>
      <c r="W23" t="s">
        <v>47</v>
      </c>
      <c r="X23">
        <v>7</v>
      </c>
      <c r="Y23">
        <v>12</v>
      </c>
      <c r="Z23" t="s">
        <v>31</v>
      </c>
    </row>
    <row r="24" spans="1:26">
      <c r="A24" t="s">
        <v>81</v>
      </c>
      <c r="B24">
        <v>33</v>
      </c>
      <c r="C24" t="str">
        <f t="shared" si="0"/>
        <v>18-35</v>
      </c>
      <c r="D24" t="s">
        <v>52</v>
      </c>
      <c r="E24" s="2">
        <v>45090</v>
      </c>
      <c r="F24" s="2" t="str">
        <f t="shared" ca="1" si="1"/>
        <v>No</v>
      </c>
      <c r="G24" s="2" t="str">
        <f t="shared" si="2"/>
        <v>Jun-2023</v>
      </c>
      <c r="H24" s="2">
        <v>45100</v>
      </c>
      <c r="I24">
        <v>10</v>
      </c>
      <c r="J24" t="s">
        <v>63</v>
      </c>
      <c r="K24">
        <v>2</v>
      </c>
      <c r="L24" t="s">
        <v>71</v>
      </c>
      <c r="M24" s="9">
        <v>16139</v>
      </c>
      <c r="N24" t="s">
        <v>25</v>
      </c>
      <c r="O24" t="s">
        <v>54</v>
      </c>
      <c r="P24" t="s">
        <v>27</v>
      </c>
      <c r="Q24" s="2">
        <v>45144</v>
      </c>
      <c r="R24" s="13">
        <f t="shared" si="3"/>
        <v>46020.000000003492</v>
      </c>
      <c r="S24" s="13">
        <f t="shared" si="4"/>
        <v>1136.993987976078</v>
      </c>
      <c r="T24" s="2">
        <v>45175.958333333336</v>
      </c>
      <c r="U24" t="s">
        <v>55</v>
      </c>
      <c r="V24" t="s">
        <v>29</v>
      </c>
      <c r="W24" t="s">
        <v>47</v>
      </c>
      <c r="X24">
        <v>7</v>
      </c>
      <c r="Y24">
        <v>12</v>
      </c>
      <c r="Z24" t="s">
        <v>31</v>
      </c>
    </row>
    <row r="25" spans="1:26">
      <c r="A25" t="s">
        <v>82</v>
      </c>
      <c r="B25">
        <v>76</v>
      </c>
      <c r="C25" t="str">
        <f t="shared" si="0"/>
        <v>66+</v>
      </c>
      <c r="D25" t="s">
        <v>52</v>
      </c>
      <c r="E25" s="2">
        <v>45507</v>
      </c>
      <c r="F25" s="2" t="str">
        <f t="shared" ca="1" si="1"/>
        <v>No</v>
      </c>
      <c r="G25" s="2" t="str">
        <f t="shared" si="2"/>
        <v>Aug-2024</v>
      </c>
      <c r="H25" s="2">
        <v>45371</v>
      </c>
      <c r="I25">
        <v>12</v>
      </c>
      <c r="J25" t="s">
        <v>57</v>
      </c>
      <c r="K25">
        <v>3</v>
      </c>
      <c r="L25" t="s">
        <v>71</v>
      </c>
      <c r="M25" s="9">
        <v>37060</v>
      </c>
      <c r="N25" t="s">
        <v>25</v>
      </c>
      <c r="O25" t="s">
        <v>54</v>
      </c>
      <c r="P25" t="s">
        <v>27</v>
      </c>
      <c r="Q25" s="2">
        <v>45476</v>
      </c>
      <c r="R25" s="13">
        <f t="shared" si="3"/>
        <v>360</v>
      </c>
      <c r="S25" s="13">
        <f t="shared" si="4"/>
        <v>1132.0641282566321</v>
      </c>
      <c r="T25" s="2">
        <v>45476.25</v>
      </c>
      <c r="U25" t="s">
        <v>64</v>
      </c>
      <c r="V25" t="s">
        <v>29</v>
      </c>
      <c r="W25" t="s">
        <v>47</v>
      </c>
      <c r="X25">
        <v>9</v>
      </c>
      <c r="Y25">
        <v>12</v>
      </c>
      <c r="Z25" t="s">
        <v>31</v>
      </c>
    </row>
    <row r="26" spans="1:26">
      <c r="A26" t="s">
        <v>83</v>
      </c>
      <c r="B26">
        <v>58</v>
      </c>
      <c r="C26" t="str">
        <f t="shared" si="0"/>
        <v>51-65</v>
      </c>
      <c r="D26" t="s">
        <v>45</v>
      </c>
      <c r="E26" s="2">
        <v>45275</v>
      </c>
      <c r="F26" s="2" t="str">
        <f t="shared" ca="1" si="1"/>
        <v>No</v>
      </c>
      <c r="G26" s="2" t="str">
        <f t="shared" si="2"/>
        <v>Dec-2023</v>
      </c>
      <c r="H26" s="2">
        <v>45287</v>
      </c>
      <c r="I26">
        <v>12</v>
      </c>
      <c r="J26" t="s">
        <v>63</v>
      </c>
      <c r="K26">
        <v>3</v>
      </c>
      <c r="L26" t="s">
        <v>46</v>
      </c>
      <c r="M26" s="9">
        <v>27419</v>
      </c>
      <c r="N26" t="s">
        <v>67</v>
      </c>
      <c r="O26" t="s">
        <v>54</v>
      </c>
      <c r="P26" t="s">
        <v>27</v>
      </c>
      <c r="Q26" s="2">
        <v>45272</v>
      </c>
      <c r="R26" s="13">
        <f t="shared" si="3"/>
        <v>1980</v>
      </c>
      <c r="S26" s="13">
        <f t="shared" si="4"/>
        <v>1135.1903807616491</v>
      </c>
      <c r="T26" s="2">
        <v>45273.375</v>
      </c>
      <c r="U26" t="s">
        <v>64</v>
      </c>
      <c r="V26" t="s">
        <v>29</v>
      </c>
      <c r="W26" t="s">
        <v>43</v>
      </c>
      <c r="X26">
        <v>5</v>
      </c>
      <c r="Y26">
        <v>10</v>
      </c>
      <c r="Z26" t="s">
        <v>68</v>
      </c>
    </row>
    <row r="27" spans="1:26">
      <c r="A27" t="s">
        <v>84</v>
      </c>
      <c r="B27">
        <v>22</v>
      </c>
      <c r="C27" t="str">
        <f t="shared" si="0"/>
        <v>18-35</v>
      </c>
      <c r="D27" t="s">
        <v>45</v>
      </c>
      <c r="E27" s="2">
        <v>45270</v>
      </c>
      <c r="F27" s="2" t="str">
        <f t="shared" ca="1" si="1"/>
        <v>No</v>
      </c>
      <c r="G27" s="2" t="str">
        <f t="shared" si="2"/>
        <v>Dec-2023</v>
      </c>
      <c r="H27" s="2">
        <v>45214</v>
      </c>
      <c r="I27">
        <v>3</v>
      </c>
      <c r="J27" t="s">
        <v>57</v>
      </c>
      <c r="K27">
        <v>2</v>
      </c>
      <c r="L27" t="s">
        <v>71</v>
      </c>
      <c r="M27" s="9">
        <v>32785</v>
      </c>
      <c r="N27" t="s">
        <v>67</v>
      </c>
      <c r="O27" t="s">
        <v>26</v>
      </c>
      <c r="P27" t="s">
        <v>27</v>
      </c>
      <c r="Q27" s="2">
        <v>45148</v>
      </c>
      <c r="R27" s="13">
        <f t="shared" si="3"/>
        <v>87840</v>
      </c>
      <c r="S27" s="13">
        <f t="shared" si="4"/>
        <v>1133.7474949901059</v>
      </c>
      <c r="T27" s="2">
        <v>45209</v>
      </c>
      <c r="U27" t="s">
        <v>55</v>
      </c>
      <c r="V27" t="s">
        <v>29</v>
      </c>
      <c r="W27" t="s">
        <v>30</v>
      </c>
      <c r="X27">
        <v>7</v>
      </c>
      <c r="Y27">
        <v>12</v>
      </c>
      <c r="Z27" t="s">
        <v>31</v>
      </c>
    </row>
    <row r="28" spans="1:26">
      <c r="A28" t="s">
        <v>85</v>
      </c>
      <c r="B28">
        <v>89</v>
      </c>
      <c r="C28" t="str">
        <f t="shared" si="0"/>
        <v>66+</v>
      </c>
      <c r="D28" t="s">
        <v>41</v>
      </c>
      <c r="E28" s="2">
        <v>45175</v>
      </c>
      <c r="F28" s="2" t="str">
        <f t="shared" ca="1" si="1"/>
        <v>No</v>
      </c>
      <c r="G28" s="2" t="str">
        <f t="shared" si="2"/>
        <v>Sep-2023</v>
      </c>
      <c r="H28" s="2">
        <v>45101</v>
      </c>
      <c r="I28">
        <v>15</v>
      </c>
      <c r="J28" t="s">
        <v>34</v>
      </c>
      <c r="K28">
        <v>2</v>
      </c>
      <c r="L28" t="s">
        <v>71</v>
      </c>
      <c r="M28" s="9">
        <v>20702</v>
      </c>
      <c r="N28" t="s">
        <v>60</v>
      </c>
      <c r="O28" t="s">
        <v>26</v>
      </c>
      <c r="P28" t="s">
        <v>27</v>
      </c>
      <c r="Q28" s="2">
        <v>45083</v>
      </c>
      <c r="R28" s="13">
        <f t="shared" si="3"/>
        <v>1380.0000000034925</v>
      </c>
      <c r="S28" s="13">
        <f t="shared" si="4"/>
        <v>962.28456913840955</v>
      </c>
      <c r="T28" s="2">
        <v>45083.958333333336</v>
      </c>
      <c r="U28" t="s">
        <v>28</v>
      </c>
      <c r="V28" t="s">
        <v>29</v>
      </c>
      <c r="W28" t="s">
        <v>30</v>
      </c>
      <c r="X28">
        <v>9</v>
      </c>
      <c r="Y28">
        <v>10</v>
      </c>
      <c r="Z28" t="s">
        <v>68</v>
      </c>
    </row>
    <row r="29" spans="1:26">
      <c r="A29" t="s">
        <v>86</v>
      </c>
      <c r="B29">
        <v>49</v>
      </c>
      <c r="C29" t="str">
        <f t="shared" si="0"/>
        <v>36-50</v>
      </c>
      <c r="D29" t="s">
        <v>45</v>
      </c>
      <c r="E29" s="2">
        <v>45177</v>
      </c>
      <c r="F29" s="2" t="str">
        <f t="shared" ca="1" si="1"/>
        <v>No</v>
      </c>
      <c r="G29" s="2" t="str">
        <f t="shared" si="2"/>
        <v>Sep-2023</v>
      </c>
      <c r="H29" s="2">
        <v>45154</v>
      </c>
      <c r="I29">
        <v>7</v>
      </c>
      <c r="J29" t="s">
        <v>40</v>
      </c>
      <c r="K29">
        <v>3</v>
      </c>
      <c r="L29" t="s">
        <v>66</v>
      </c>
      <c r="M29" s="9">
        <v>34217</v>
      </c>
      <c r="N29" t="s">
        <v>67</v>
      </c>
      <c r="O29" t="s">
        <v>54</v>
      </c>
      <c r="P29" t="s">
        <v>27</v>
      </c>
      <c r="Q29" s="2">
        <v>45054</v>
      </c>
      <c r="R29" s="13">
        <f t="shared" si="3"/>
        <v>239.99999999650754</v>
      </c>
      <c r="S29" s="13">
        <f t="shared" si="4"/>
        <v>959.63927855723318</v>
      </c>
      <c r="T29" s="2">
        <v>45054.166666666664</v>
      </c>
      <c r="U29" t="s">
        <v>55</v>
      </c>
      <c r="V29" t="s">
        <v>29</v>
      </c>
      <c r="W29" t="s">
        <v>43</v>
      </c>
      <c r="X29">
        <v>9</v>
      </c>
      <c r="Y29">
        <v>10</v>
      </c>
      <c r="Z29" t="s">
        <v>48</v>
      </c>
    </row>
    <row r="30" spans="1:26">
      <c r="A30" t="s">
        <v>87</v>
      </c>
      <c r="B30">
        <v>59</v>
      </c>
      <c r="C30" t="str">
        <f t="shared" si="0"/>
        <v>51-65</v>
      </c>
      <c r="D30" t="s">
        <v>62</v>
      </c>
      <c r="E30" s="2">
        <v>45242</v>
      </c>
      <c r="F30" s="2" t="str">
        <f t="shared" ca="1" si="1"/>
        <v>No</v>
      </c>
      <c r="G30" s="2" t="str">
        <f t="shared" si="2"/>
        <v>Nov-2023</v>
      </c>
      <c r="H30" s="2">
        <v>45282</v>
      </c>
      <c r="I30">
        <v>11</v>
      </c>
      <c r="J30" t="s">
        <v>63</v>
      </c>
      <c r="K30">
        <v>4</v>
      </c>
      <c r="L30" t="s">
        <v>46</v>
      </c>
      <c r="M30" s="9">
        <v>44291</v>
      </c>
      <c r="N30" t="s">
        <v>67</v>
      </c>
      <c r="O30" t="s">
        <v>54</v>
      </c>
      <c r="P30" t="s">
        <v>27</v>
      </c>
      <c r="Q30" s="2">
        <v>45242</v>
      </c>
      <c r="R30" s="13">
        <f t="shared" si="3"/>
        <v>419.99999999650754</v>
      </c>
      <c r="S30" s="13">
        <f t="shared" si="4"/>
        <v>1051.382765531195</v>
      </c>
      <c r="T30" s="2">
        <v>45242.291666666664</v>
      </c>
      <c r="U30" t="s">
        <v>42</v>
      </c>
      <c r="V30" t="s">
        <v>29</v>
      </c>
      <c r="W30" t="s">
        <v>43</v>
      </c>
      <c r="X30">
        <v>4</v>
      </c>
      <c r="Y30">
        <v>8</v>
      </c>
      <c r="Z30" t="s">
        <v>31</v>
      </c>
    </row>
    <row r="31" spans="1:26">
      <c r="A31" t="s">
        <v>88</v>
      </c>
      <c r="B31">
        <v>42</v>
      </c>
      <c r="C31" t="str">
        <f t="shared" si="0"/>
        <v>36-50</v>
      </c>
      <c r="D31" t="s">
        <v>33</v>
      </c>
      <c r="E31" s="2">
        <v>45031</v>
      </c>
      <c r="F31" s="2" t="str">
        <f t="shared" ca="1" si="1"/>
        <v>No</v>
      </c>
      <c r="G31" s="2" t="str">
        <f t="shared" si="2"/>
        <v>Apr-2023</v>
      </c>
      <c r="H31" s="2">
        <v>45033</v>
      </c>
      <c r="I31">
        <v>2</v>
      </c>
      <c r="J31" t="s">
        <v>50</v>
      </c>
      <c r="K31">
        <v>1</v>
      </c>
      <c r="L31" t="s">
        <v>35</v>
      </c>
      <c r="M31" s="9">
        <v>17397</v>
      </c>
      <c r="N31" t="s">
        <v>25</v>
      </c>
      <c r="O31" t="s">
        <v>54</v>
      </c>
      <c r="P31" t="s">
        <v>27</v>
      </c>
      <c r="Q31" s="2">
        <v>45029</v>
      </c>
      <c r="R31" s="13">
        <f t="shared" si="3"/>
        <v>1679.9999999965075</v>
      </c>
      <c r="S31" s="13">
        <f t="shared" si="4"/>
        <v>1051.2625250502401</v>
      </c>
      <c r="T31" s="2">
        <v>45030.166666666664</v>
      </c>
      <c r="U31" t="s">
        <v>55</v>
      </c>
      <c r="V31" t="s">
        <v>29</v>
      </c>
      <c r="W31" t="s">
        <v>43</v>
      </c>
      <c r="X31">
        <v>8</v>
      </c>
      <c r="Y31">
        <v>8</v>
      </c>
      <c r="Z31" t="s">
        <v>31</v>
      </c>
    </row>
    <row r="32" spans="1:26">
      <c r="A32" t="s">
        <v>89</v>
      </c>
      <c r="B32">
        <v>60</v>
      </c>
      <c r="C32" t="str">
        <f t="shared" si="0"/>
        <v>51-65</v>
      </c>
      <c r="D32" t="s">
        <v>45</v>
      </c>
      <c r="E32" s="2">
        <v>45050</v>
      </c>
      <c r="F32" s="2" t="str">
        <f t="shared" ca="1" si="1"/>
        <v>No</v>
      </c>
      <c r="G32" s="2" t="str">
        <f t="shared" si="2"/>
        <v>May-2023</v>
      </c>
      <c r="H32" s="2">
        <v>45035</v>
      </c>
      <c r="I32">
        <v>14</v>
      </c>
      <c r="J32" t="s">
        <v>40</v>
      </c>
      <c r="K32">
        <v>1</v>
      </c>
      <c r="L32" t="s">
        <v>24</v>
      </c>
      <c r="M32" s="9">
        <v>45879</v>
      </c>
      <c r="N32" t="s">
        <v>60</v>
      </c>
      <c r="O32" t="s">
        <v>26</v>
      </c>
      <c r="P32" t="s">
        <v>27</v>
      </c>
      <c r="Q32" s="2">
        <v>44989</v>
      </c>
      <c r="R32" s="13">
        <f t="shared" si="3"/>
        <v>900</v>
      </c>
      <c r="S32" s="13">
        <f t="shared" si="4"/>
        <v>1053.5470941885308</v>
      </c>
      <c r="T32" s="2">
        <v>44989.625</v>
      </c>
      <c r="U32" t="s">
        <v>28</v>
      </c>
      <c r="V32" t="s">
        <v>29</v>
      </c>
      <c r="W32" t="s">
        <v>43</v>
      </c>
      <c r="X32">
        <v>11</v>
      </c>
      <c r="Y32">
        <v>10</v>
      </c>
      <c r="Z32" t="s">
        <v>31</v>
      </c>
    </row>
    <row r="33" spans="1:26">
      <c r="A33" t="s">
        <v>90</v>
      </c>
      <c r="B33">
        <v>80</v>
      </c>
      <c r="C33" t="str">
        <f t="shared" si="0"/>
        <v>66+</v>
      </c>
      <c r="D33" t="s">
        <v>22</v>
      </c>
      <c r="E33" s="2">
        <v>45316</v>
      </c>
      <c r="F33" s="2" t="str">
        <f t="shared" ca="1" si="1"/>
        <v>No</v>
      </c>
      <c r="G33" s="2" t="str">
        <f t="shared" si="2"/>
        <v>Jan-2024</v>
      </c>
      <c r="H33" s="2">
        <v>45324</v>
      </c>
      <c r="I33">
        <v>8</v>
      </c>
      <c r="J33" t="s">
        <v>50</v>
      </c>
      <c r="K33">
        <v>3</v>
      </c>
      <c r="L33" t="s">
        <v>71</v>
      </c>
      <c r="M33" s="9">
        <v>40169</v>
      </c>
      <c r="N33" t="s">
        <v>67</v>
      </c>
      <c r="O33" t="s">
        <v>26</v>
      </c>
      <c r="P33" t="s">
        <v>27</v>
      </c>
      <c r="Q33" s="2">
        <v>45311</v>
      </c>
      <c r="R33" s="13">
        <f t="shared" si="3"/>
        <v>300.00000000349246</v>
      </c>
      <c r="S33" s="13">
        <f t="shared" si="4"/>
        <v>1139.0380761524586</v>
      </c>
      <c r="T33" s="2">
        <v>45311.208333333336</v>
      </c>
      <c r="U33" t="s">
        <v>55</v>
      </c>
      <c r="V33" t="s">
        <v>29</v>
      </c>
      <c r="W33" t="s">
        <v>43</v>
      </c>
      <c r="X33">
        <v>7</v>
      </c>
      <c r="Y33">
        <v>8</v>
      </c>
      <c r="Z33" t="s">
        <v>48</v>
      </c>
    </row>
    <row r="34" spans="1:26">
      <c r="A34" t="s">
        <v>91</v>
      </c>
      <c r="B34">
        <v>15</v>
      </c>
      <c r="C34" t="str">
        <f t="shared" si="0"/>
        <v>0-17</v>
      </c>
      <c r="D34" t="s">
        <v>41</v>
      </c>
      <c r="E34" s="2">
        <v>45203</v>
      </c>
      <c r="F34" s="2" t="str">
        <f t="shared" ca="1" si="1"/>
        <v>No</v>
      </c>
      <c r="G34" s="2" t="str">
        <f t="shared" si="2"/>
        <v>Oct-2023</v>
      </c>
      <c r="H34" s="2">
        <v>45036</v>
      </c>
      <c r="I34">
        <v>10</v>
      </c>
      <c r="J34" t="s">
        <v>40</v>
      </c>
      <c r="K34">
        <v>2</v>
      </c>
      <c r="L34" t="s">
        <v>24</v>
      </c>
      <c r="M34" s="9">
        <v>31940</v>
      </c>
      <c r="N34" t="s">
        <v>67</v>
      </c>
      <c r="O34" t="s">
        <v>54</v>
      </c>
      <c r="P34" t="s">
        <v>41</v>
      </c>
      <c r="Q34" s="2">
        <v>45111</v>
      </c>
      <c r="R34" s="13">
        <f t="shared" si="3"/>
        <v>1319.9999999965075</v>
      </c>
      <c r="S34" s="13">
        <f t="shared" si="4"/>
        <v>1143.3667334670879</v>
      </c>
      <c r="T34" s="2">
        <v>45111.916666666664</v>
      </c>
      <c r="U34" t="s">
        <v>64</v>
      </c>
      <c r="V34" t="s">
        <v>38</v>
      </c>
      <c r="W34" t="s">
        <v>47</v>
      </c>
      <c r="X34">
        <v>8</v>
      </c>
      <c r="Y34">
        <v>8</v>
      </c>
      <c r="Z34" t="s">
        <v>31</v>
      </c>
    </row>
    <row r="35" spans="1:26">
      <c r="A35" t="s">
        <v>92</v>
      </c>
      <c r="B35">
        <v>62</v>
      </c>
      <c r="C35" t="str">
        <f t="shared" si="0"/>
        <v>51-65</v>
      </c>
      <c r="D35" t="s">
        <v>22</v>
      </c>
      <c r="E35" s="2">
        <v>45352</v>
      </c>
      <c r="F35" s="2" t="str">
        <f t="shared" ca="1" si="1"/>
        <v>No</v>
      </c>
      <c r="G35" s="2" t="str">
        <f t="shared" si="2"/>
        <v>Mar-2024</v>
      </c>
      <c r="H35" s="2">
        <v>45566</v>
      </c>
      <c r="I35">
        <v>7</v>
      </c>
      <c r="J35" t="s">
        <v>40</v>
      </c>
      <c r="K35">
        <v>4</v>
      </c>
      <c r="L35" t="s">
        <v>35</v>
      </c>
      <c r="M35" s="9">
        <v>47249</v>
      </c>
      <c r="N35" t="s">
        <v>60</v>
      </c>
      <c r="O35" t="s">
        <v>26</v>
      </c>
      <c r="P35" t="s">
        <v>27</v>
      </c>
      <c r="Q35" s="2">
        <v>45323</v>
      </c>
      <c r="R35" s="13">
        <f t="shared" si="3"/>
        <v>42660</v>
      </c>
      <c r="S35" s="13">
        <f t="shared" si="4"/>
        <v>1232.4649298598733</v>
      </c>
      <c r="T35" s="2">
        <v>45352.625</v>
      </c>
      <c r="U35" t="s">
        <v>37</v>
      </c>
      <c r="V35" t="s">
        <v>29</v>
      </c>
      <c r="W35" t="s">
        <v>30</v>
      </c>
      <c r="X35">
        <v>5</v>
      </c>
      <c r="Y35">
        <v>12</v>
      </c>
      <c r="Z35" t="s">
        <v>68</v>
      </c>
    </row>
    <row r="36" spans="1:26">
      <c r="A36" t="s">
        <v>93</v>
      </c>
      <c r="B36">
        <v>62</v>
      </c>
      <c r="C36" t="str">
        <f t="shared" si="0"/>
        <v>51-65</v>
      </c>
      <c r="D36" t="s">
        <v>52</v>
      </c>
      <c r="E36" s="2">
        <v>45279</v>
      </c>
      <c r="F36" s="2" t="str">
        <f t="shared" ca="1" si="1"/>
        <v>No</v>
      </c>
      <c r="G36" s="2" t="str">
        <f t="shared" si="2"/>
        <v>Dec-2023</v>
      </c>
      <c r="H36" s="2">
        <v>45284</v>
      </c>
      <c r="I36">
        <v>5</v>
      </c>
      <c r="J36" t="s">
        <v>57</v>
      </c>
      <c r="K36">
        <v>3</v>
      </c>
      <c r="L36" t="s">
        <v>24</v>
      </c>
      <c r="M36" s="9">
        <v>33341</v>
      </c>
      <c r="N36" t="s">
        <v>36</v>
      </c>
      <c r="O36" t="s">
        <v>26</v>
      </c>
      <c r="P36" t="s">
        <v>27</v>
      </c>
      <c r="Q36" s="2">
        <v>45275</v>
      </c>
      <c r="R36" s="13">
        <f t="shared" si="3"/>
        <v>2399.9999999965075</v>
      </c>
      <c r="S36" s="13">
        <f t="shared" si="4"/>
        <v>1238.9579158318172</v>
      </c>
      <c r="T36" s="2">
        <v>45276.666666666664</v>
      </c>
      <c r="U36" t="s">
        <v>64</v>
      </c>
      <c r="V36" t="s">
        <v>29</v>
      </c>
      <c r="W36" t="s">
        <v>43</v>
      </c>
      <c r="X36">
        <v>9</v>
      </c>
      <c r="Y36">
        <v>8</v>
      </c>
      <c r="Z36" t="s">
        <v>48</v>
      </c>
    </row>
    <row r="37" spans="1:26">
      <c r="A37" t="s">
        <v>94</v>
      </c>
      <c r="B37">
        <v>47</v>
      </c>
      <c r="C37" t="str">
        <f t="shared" si="0"/>
        <v>36-50</v>
      </c>
      <c r="D37" t="s">
        <v>33</v>
      </c>
      <c r="E37" s="2">
        <v>45197</v>
      </c>
      <c r="F37" s="2" t="str">
        <f t="shared" ca="1" si="1"/>
        <v>No</v>
      </c>
      <c r="G37" s="2" t="str">
        <f t="shared" si="2"/>
        <v>Sep-2023</v>
      </c>
      <c r="H37" s="2">
        <v>45198</v>
      </c>
      <c r="I37">
        <v>1</v>
      </c>
      <c r="J37" t="s">
        <v>63</v>
      </c>
      <c r="K37">
        <v>1</v>
      </c>
      <c r="L37" t="s">
        <v>35</v>
      </c>
      <c r="M37" s="9">
        <v>15067</v>
      </c>
      <c r="N37" t="s">
        <v>60</v>
      </c>
      <c r="O37" t="s">
        <v>26</v>
      </c>
      <c r="P37" t="s">
        <v>41</v>
      </c>
      <c r="Q37" s="2">
        <v>45195</v>
      </c>
      <c r="R37" s="13">
        <f t="shared" si="3"/>
        <v>2340</v>
      </c>
      <c r="S37" s="13">
        <f t="shared" si="4"/>
        <v>1236.9138276554786</v>
      </c>
      <c r="T37" s="2">
        <v>45196.625</v>
      </c>
      <c r="U37" t="s">
        <v>37</v>
      </c>
      <c r="V37" t="s">
        <v>29</v>
      </c>
      <c r="W37" t="s">
        <v>47</v>
      </c>
      <c r="X37">
        <v>10</v>
      </c>
      <c r="Y37">
        <v>10</v>
      </c>
      <c r="Z37" t="s">
        <v>48</v>
      </c>
    </row>
    <row r="38" spans="1:26">
      <c r="A38" t="s">
        <v>95</v>
      </c>
      <c r="B38">
        <v>62</v>
      </c>
      <c r="C38" t="str">
        <f t="shared" si="0"/>
        <v>51-65</v>
      </c>
      <c r="D38" t="s">
        <v>45</v>
      </c>
      <c r="E38" s="2">
        <v>44971</v>
      </c>
      <c r="F38" s="2" t="str">
        <f t="shared" ca="1" si="1"/>
        <v>No</v>
      </c>
      <c r="G38" s="2" t="str">
        <f t="shared" si="2"/>
        <v>Feb-2023</v>
      </c>
      <c r="H38" s="2">
        <v>44983</v>
      </c>
      <c r="I38">
        <v>12</v>
      </c>
      <c r="J38" t="s">
        <v>63</v>
      </c>
      <c r="K38">
        <v>5</v>
      </c>
      <c r="L38" t="s">
        <v>66</v>
      </c>
      <c r="M38" s="9">
        <v>18824</v>
      </c>
      <c r="N38" t="s">
        <v>25</v>
      </c>
      <c r="O38" t="s">
        <v>26</v>
      </c>
      <c r="P38" t="s">
        <v>41</v>
      </c>
      <c r="Q38" s="2">
        <v>45171</v>
      </c>
      <c r="R38" s="13">
        <f t="shared" si="3"/>
        <v>43320.000000003492</v>
      </c>
      <c r="S38" s="13">
        <f t="shared" si="4"/>
        <v>1232.8256513027802</v>
      </c>
      <c r="T38" s="2">
        <v>45201.083333333336</v>
      </c>
      <c r="U38" t="s">
        <v>55</v>
      </c>
      <c r="V38" t="s">
        <v>29</v>
      </c>
      <c r="W38" t="s">
        <v>43</v>
      </c>
      <c r="X38">
        <v>11</v>
      </c>
      <c r="Y38">
        <v>8</v>
      </c>
      <c r="Z38" t="s">
        <v>48</v>
      </c>
    </row>
    <row r="39" spans="1:26">
      <c r="A39" t="s">
        <v>96</v>
      </c>
      <c r="B39">
        <v>51</v>
      </c>
      <c r="C39" t="str">
        <f t="shared" si="0"/>
        <v>51-65</v>
      </c>
      <c r="D39" t="s">
        <v>22</v>
      </c>
      <c r="E39" s="2">
        <v>45397</v>
      </c>
      <c r="F39" s="2" t="str">
        <f t="shared" ca="1" si="1"/>
        <v>No</v>
      </c>
      <c r="G39" s="2" t="str">
        <f t="shared" si="2"/>
        <v>Apr-2024</v>
      </c>
      <c r="H39" s="2">
        <v>45403</v>
      </c>
      <c r="I39">
        <v>6</v>
      </c>
      <c r="J39" t="s">
        <v>40</v>
      </c>
      <c r="K39">
        <v>2</v>
      </c>
      <c r="L39" t="s">
        <v>71</v>
      </c>
      <c r="M39" s="9">
        <v>18444</v>
      </c>
      <c r="N39" t="s">
        <v>36</v>
      </c>
      <c r="O39" t="s">
        <v>26</v>
      </c>
      <c r="P39" t="s">
        <v>27</v>
      </c>
      <c r="Q39" s="2">
        <v>45630</v>
      </c>
      <c r="R39" s="13">
        <f t="shared" si="3"/>
        <v>1260</v>
      </c>
      <c r="S39" s="13">
        <f t="shared" si="4"/>
        <v>1150.2204408819384</v>
      </c>
      <c r="T39" s="2">
        <v>45630.875</v>
      </c>
      <c r="U39" t="s">
        <v>42</v>
      </c>
      <c r="V39" t="s">
        <v>29</v>
      </c>
      <c r="W39" t="s">
        <v>47</v>
      </c>
      <c r="X39">
        <v>11</v>
      </c>
      <c r="Y39">
        <v>12</v>
      </c>
      <c r="Z39" t="s">
        <v>48</v>
      </c>
    </row>
    <row r="40" spans="1:26">
      <c r="A40" t="s">
        <v>97</v>
      </c>
      <c r="B40">
        <v>55</v>
      </c>
      <c r="C40" t="str">
        <f t="shared" si="0"/>
        <v>51-65</v>
      </c>
      <c r="D40" t="s">
        <v>33</v>
      </c>
      <c r="E40" s="2">
        <v>45143</v>
      </c>
      <c r="F40" s="2" t="str">
        <f t="shared" ca="1" si="1"/>
        <v>No</v>
      </c>
      <c r="G40" s="2" t="str">
        <f t="shared" si="2"/>
        <v>Aug-2023</v>
      </c>
      <c r="H40" s="2">
        <v>45265</v>
      </c>
      <c r="I40">
        <v>4</v>
      </c>
      <c r="J40" t="s">
        <v>34</v>
      </c>
      <c r="K40">
        <v>5</v>
      </c>
      <c r="L40" t="s">
        <v>35</v>
      </c>
      <c r="M40" s="9">
        <v>38307</v>
      </c>
      <c r="N40" t="s">
        <v>53</v>
      </c>
      <c r="O40" t="s">
        <v>26</v>
      </c>
      <c r="P40" t="s">
        <v>27</v>
      </c>
      <c r="Q40" s="2">
        <v>45112</v>
      </c>
      <c r="R40" s="13">
        <f t="shared" si="3"/>
        <v>120.00000000349246</v>
      </c>
      <c r="S40" s="13">
        <f t="shared" si="4"/>
        <v>1150.821643286755</v>
      </c>
      <c r="T40" s="2">
        <v>45112.083333333336</v>
      </c>
      <c r="U40" t="s">
        <v>55</v>
      </c>
      <c r="V40" t="s">
        <v>29</v>
      </c>
      <c r="W40" t="s">
        <v>43</v>
      </c>
      <c r="X40">
        <v>7</v>
      </c>
      <c r="Y40">
        <v>10</v>
      </c>
      <c r="Z40" t="s">
        <v>48</v>
      </c>
    </row>
    <row r="41" spans="1:26">
      <c r="A41" t="s">
        <v>98</v>
      </c>
      <c r="B41">
        <v>64</v>
      </c>
      <c r="C41" t="str">
        <f t="shared" si="0"/>
        <v>51-65</v>
      </c>
      <c r="D41" t="s">
        <v>52</v>
      </c>
      <c r="E41" s="2">
        <v>45314</v>
      </c>
      <c r="F41" s="2" t="str">
        <f t="shared" ca="1" si="1"/>
        <v>No</v>
      </c>
      <c r="G41" s="2" t="str">
        <f t="shared" si="2"/>
        <v>Jan-2024</v>
      </c>
      <c r="H41" s="2">
        <v>45322</v>
      </c>
      <c r="I41">
        <v>8</v>
      </c>
      <c r="J41" t="s">
        <v>34</v>
      </c>
      <c r="K41">
        <v>3</v>
      </c>
      <c r="L41" t="s">
        <v>24</v>
      </c>
      <c r="M41" s="9">
        <v>15974</v>
      </c>
      <c r="N41" t="s">
        <v>60</v>
      </c>
      <c r="O41" t="s">
        <v>54</v>
      </c>
      <c r="P41" t="s">
        <v>27</v>
      </c>
      <c r="Q41" s="2">
        <v>45314</v>
      </c>
      <c r="R41" s="13">
        <f t="shared" si="3"/>
        <v>2460.0000000034925</v>
      </c>
      <c r="S41" s="13">
        <f t="shared" si="4"/>
        <v>1152.2645290582982</v>
      </c>
      <c r="T41" s="2">
        <v>45315.708333333336</v>
      </c>
      <c r="U41" t="s">
        <v>28</v>
      </c>
      <c r="V41" t="s">
        <v>29</v>
      </c>
      <c r="W41" t="s">
        <v>30</v>
      </c>
      <c r="X41">
        <v>10</v>
      </c>
      <c r="Y41">
        <v>8</v>
      </c>
      <c r="Z41" t="s">
        <v>68</v>
      </c>
    </row>
    <row r="42" spans="1:26">
      <c r="A42" t="s">
        <v>99</v>
      </c>
      <c r="B42">
        <v>3</v>
      </c>
      <c r="C42" t="str">
        <f t="shared" si="0"/>
        <v>0-17</v>
      </c>
      <c r="D42" t="s">
        <v>62</v>
      </c>
      <c r="E42" s="2">
        <v>45007</v>
      </c>
      <c r="F42" s="2" t="str">
        <f t="shared" ca="1" si="1"/>
        <v>No</v>
      </c>
      <c r="G42" s="2" t="str">
        <f t="shared" si="2"/>
        <v>Mar-2023</v>
      </c>
      <c r="H42" s="2">
        <v>45015</v>
      </c>
      <c r="I42">
        <v>8</v>
      </c>
      <c r="J42" t="s">
        <v>50</v>
      </c>
      <c r="K42">
        <v>1</v>
      </c>
      <c r="L42" t="s">
        <v>71</v>
      </c>
      <c r="M42" s="9">
        <v>43383</v>
      </c>
      <c r="N42" t="s">
        <v>25</v>
      </c>
      <c r="O42" t="s">
        <v>26</v>
      </c>
      <c r="P42" t="s">
        <v>41</v>
      </c>
      <c r="Q42" s="2">
        <v>45006</v>
      </c>
      <c r="R42" s="13">
        <f t="shared" si="3"/>
        <v>1080</v>
      </c>
      <c r="S42" s="13">
        <f t="shared" si="4"/>
        <v>1150.7014028057793</v>
      </c>
      <c r="T42" s="2">
        <v>45006.75</v>
      </c>
      <c r="U42" t="s">
        <v>55</v>
      </c>
      <c r="V42" t="s">
        <v>29</v>
      </c>
      <c r="W42" t="s">
        <v>43</v>
      </c>
      <c r="X42">
        <v>6</v>
      </c>
      <c r="Y42">
        <v>10</v>
      </c>
      <c r="Z42" t="s">
        <v>48</v>
      </c>
    </row>
    <row r="43" spans="1:26">
      <c r="A43" t="s">
        <v>100</v>
      </c>
      <c r="B43">
        <v>51</v>
      </c>
      <c r="C43" t="str">
        <f t="shared" si="0"/>
        <v>51-65</v>
      </c>
      <c r="D43" t="s">
        <v>41</v>
      </c>
      <c r="E43" s="2">
        <v>45227</v>
      </c>
      <c r="F43" s="2" t="str">
        <f t="shared" ca="1" si="1"/>
        <v>No</v>
      </c>
      <c r="G43" s="2" t="str">
        <f t="shared" si="2"/>
        <v>Oct-2023</v>
      </c>
      <c r="H43" s="2">
        <v>44937</v>
      </c>
      <c r="I43">
        <v>4</v>
      </c>
      <c r="J43" t="s">
        <v>50</v>
      </c>
      <c r="K43">
        <v>4</v>
      </c>
      <c r="L43" t="s">
        <v>66</v>
      </c>
      <c r="M43" s="9">
        <v>34290</v>
      </c>
      <c r="N43" t="s">
        <v>36</v>
      </c>
      <c r="O43" t="s">
        <v>54</v>
      </c>
      <c r="P43" t="s">
        <v>27</v>
      </c>
      <c r="Q43" s="2">
        <v>45227</v>
      </c>
      <c r="R43" s="13">
        <f t="shared" si="3"/>
        <v>1740.0000000034925</v>
      </c>
      <c r="S43" s="13">
        <f t="shared" si="4"/>
        <v>1150.2204408819384</v>
      </c>
      <c r="T43" s="2">
        <v>45228.208333333336</v>
      </c>
      <c r="U43" t="s">
        <v>37</v>
      </c>
      <c r="V43" t="s">
        <v>29</v>
      </c>
      <c r="W43" t="s">
        <v>43</v>
      </c>
      <c r="X43">
        <v>5</v>
      </c>
      <c r="Y43">
        <v>8</v>
      </c>
      <c r="Z43" t="s">
        <v>31</v>
      </c>
    </row>
    <row r="44" spans="1:26">
      <c r="A44" t="s">
        <v>101</v>
      </c>
      <c r="B44">
        <v>7</v>
      </c>
      <c r="C44" t="str">
        <f t="shared" si="0"/>
        <v>0-17</v>
      </c>
      <c r="D44" t="s">
        <v>33</v>
      </c>
      <c r="E44" s="2">
        <v>45444</v>
      </c>
      <c r="F44" s="2" t="str">
        <f t="shared" ca="1" si="1"/>
        <v>No</v>
      </c>
      <c r="G44" s="2" t="str">
        <f t="shared" si="2"/>
        <v>Jun-2024</v>
      </c>
      <c r="H44" s="2">
        <v>45311</v>
      </c>
      <c r="I44">
        <v>14</v>
      </c>
      <c r="J44" t="s">
        <v>57</v>
      </c>
      <c r="K44">
        <v>5</v>
      </c>
      <c r="L44" t="s">
        <v>71</v>
      </c>
      <c r="M44" s="9">
        <v>21016</v>
      </c>
      <c r="N44" t="s">
        <v>60</v>
      </c>
      <c r="O44" t="s">
        <v>54</v>
      </c>
      <c r="P44" t="s">
        <v>41</v>
      </c>
      <c r="Q44" s="2">
        <v>45352</v>
      </c>
      <c r="R44" s="13">
        <f t="shared" si="3"/>
        <v>45120.000000003492</v>
      </c>
      <c r="S44" s="13">
        <f t="shared" si="4"/>
        <v>1234.2685370743234</v>
      </c>
      <c r="T44" s="2">
        <v>45383.333333333336</v>
      </c>
      <c r="U44" t="s">
        <v>64</v>
      </c>
      <c r="V44" t="s">
        <v>29</v>
      </c>
      <c r="W44" t="s">
        <v>30</v>
      </c>
      <c r="X44">
        <v>4</v>
      </c>
      <c r="Y44">
        <v>12</v>
      </c>
      <c r="Z44" t="s">
        <v>48</v>
      </c>
    </row>
    <row r="45" spans="1:26">
      <c r="A45" t="s">
        <v>102</v>
      </c>
      <c r="B45">
        <v>21</v>
      </c>
      <c r="C45" t="str">
        <f t="shared" si="0"/>
        <v>18-35</v>
      </c>
      <c r="D45" t="s">
        <v>33</v>
      </c>
      <c r="E45" s="2">
        <v>45123</v>
      </c>
      <c r="F45" s="2" t="str">
        <f t="shared" ca="1" si="1"/>
        <v>No</v>
      </c>
      <c r="G45" s="2" t="str">
        <f t="shared" si="2"/>
        <v>Jul-2023</v>
      </c>
      <c r="H45" s="2">
        <v>45129</v>
      </c>
      <c r="I45">
        <v>6</v>
      </c>
      <c r="J45" t="s">
        <v>40</v>
      </c>
      <c r="K45">
        <v>4</v>
      </c>
      <c r="L45" t="s">
        <v>35</v>
      </c>
      <c r="M45" s="9">
        <v>37112</v>
      </c>
      <c r="N45" t="s">
        <v>67</v>
      </c>
      <c r="O45" t="s">
        <v>54</v>
      </c>
      <c r="P45" t="s">
        <v>27</v>
      </c>
      <c r="Q45" s="2">
        <v>45122</v>
      </c>
      <c r="R45" s="13">
        <f t="shared" si="3"/>
        <v>900</v>
      </c>
      <c r="S45" s="13">
        <f t="shared" si="4"/>
        <v>1146.0120240482643</v>
      </c>
      <c r="T45" s="2">
        <v>45122.625</v>
      </c>
      <c r="U45" t="s">
        <v>42</v>
      </c>
      <c r="V45" t="s">
        <v>29</v>
      </c>
      <c r="W45" t="s">
        <v>30</v>
      </c>
      <c r="X45">
        <v>4</v>
      </c>
      <c r="Y45">
        <v>8</v>
      </c>
      <c r="Z45" t="s">
        <v>48</v>
      </c>
    </row>
    <row r="46" spans="1:26">
      <c r="A46" t="s">
        <v>103</v>
      </c>
      <c r="B46">
        <v>73</v>
      </c>
      <c r="C46" t="str">
        <f t="shared" si="0"/>
        <v>66+</v>
      </c>
      <c r="D46" t="s">
        <v>62</v>
      </c>
      <c r="E46" s="2">
        <v>44998</v>
      </c>
      <c r="F46" s="2" t="str">
        <f t="shared" ca="1" si="1"/>
        <v>No</v>
      </c>
      <c r="G46" s="2" t="str">
        <f t="shared" si="2"/>
        <v>Mar-2023</v>
      </c>
      <c r="H46" s="2">
        <v>45000</v>
      </c>
      <c r="I46">
        <v>2</v>
      </c>
      <c r="J46" t="s">
        <v>50</v>
      </c>
      <c r="K46">
        <v>1</v>
      </c>
      <c r="L46" t="s">
        <v>66</v>
      </c>
      <c r="M46" s="9">
        <v>33513</v>
      </c>
      <c r="N46" t="s">
        <v>60</v>
      </c>
      <c r="O46" t="s">
        <v>26</v>
      </c>
      <c r="P46" t="s">
        <v>41</v>
      </c>
      <c r="Q46" s="2">
        <v>45141</v>
      </c>
      <c r="R46" s="13">
        <f t="shared" si="3"/>
        <v>1380.0000000034925</v>
      </c>
      <c r="S46" s="13">
        <f t="shared" si="4"/>
        <v>1146.7334669340357</v>
      </c>
      <c r="T46" s="2">
        <v>45141.958333333336</v>
      </c>
      <c r="U46" t="s">
        <v>55</v>
      </c>
      <c r="V46" t="s">
        <v>38</v>
      </c>
      <c r="W46" t="s">
        <v>43</v>
      </c>
      <c r="X46">
        <v>8</v>
      </c>
      <c r="Y46">
        <v>10</v>
      </c>
      <c r="Z46" t="s">
        <v>48</v>
      </c>
    </row>
    <row r="47" spans="1:26">
      <c r="A47" t="s">
        <v>104</v>
      </c>
      <c r="B47">
        <v>39</v>
      </c>
      <c r="C47" t="str">
        <f t="shared" si="0"/>
        <v>36-50</v>
      </c>
      <c r="D47" t="s">
        <v>33</v>
      </c>
      <c r="E47" s="2">
        <v>44973</v>
      </c>
      <c r="F47" s="2" t="str">
        <f t="shared" ca="1" si="1"/>
        <v>No</v>
      </c>
      <c r="G47" s="2" t="str">
        <f t="shared" si="2"/>
        <v>Feb-2023</v>
      </c>
      <c r="H47" s="2">
        <v>44984</v>
      </c>
      <c r="I47">
        <v>11</v>
      </c>
      <c r="J47" t="s">
        <v>50</v>
      </c>
      <c r="K47">
        <v>5</v>
      </c>
      <c r="L47" t="s">
        <v>24</v>
      </c>
      <c r="M47" s="9">
        <v>7956</v>
      </c>
      <c r="N47" t="s">
        <v>53</v>
      </c>
      <c r="O47" t="s">
        <v>54</v>
      </c>
      <c r="P47" t="s">
        <v>41</v>
      </c>
      <c r="Q47" s="2">
        <v>44970</v>
      </c>
      <c r="R47" s="13">
        <f t="shared" si="3"/>
        <v>2160</v>
      </c>
      <c r="S47" s="13">
        <f t="shared" si="4"/>
        <v>1146.252505010174</v>
      </c>
      <c r="T47" s="2">
        <v>44971.5</v>
      </c>
      <c r="U47" t="s">
        <v>55</v>
      </c>
      <c r="V47" t="s">
        <v>29</v>
      </c>
      <c r="W47" t="s">
        <v>30</v>
      </c>
      <c r="X47">
        <v>9</v>
      </c>
      <c r="Y47">
        <v>10</v>
      </c>
      <c r="Z47" t="s">
        <v>48</v>
      </c>
    </row>
    <row r="48" spans="1:26">
      <c r="A48" t="s">
        <v>105</v>
      </c>
      <c r="B48">
        <v>18</v>
      </c>
      <c r="C48" t="str">
        <f t="shared" si="0"/>
        <v>18-35</v>
      </c>
      <c r="D48" t="s">
        <v>52</v>
      </c>
      <c r="E48" s="2">
        <v>45160</v>
      </c>
      <c r="F48" s="2" t="str">
        <f t="shared" ca="1" si="1"/>
        <v>No</v>
      </c>
      <c r="G48" s="2" t="str">
        <f t="shared" si="2"/>
        <v>Aug-2023</v>
      </c>
      <c r="H48" s="2">
        <v>45166</v>
      </c>
      <c r="I48">
        <v>6</v>
      </c>
      <c r="J48" t="s">
        <v>23</v>
      </c>
      <c r="K48">
        <v>4</v>
      </c>
      <c r="L48" t="s">
        <v>66</v>
      </c>
      <c r="M48" s="9">
        <v>13077</v>
      </c>
      <c r="N48" t="s">
        <v>60</v>
      </c>
      <c r="O48" t="s">
        <v>54</v>
      </c>
      <c r="P48" t="s">
        <v>41</v>
      </c>
      <c r="Q48" s="2">
        <v>45160</v>
      </c>
      <c r="R48" s="13">
        <f t="shared" si="3"/>
        <v>1499.9999999965075</v>
      </c>
      <c r="S48" s="13">
        <f t="shared" si="4"/>
        <v>1144.5691382767002</v>
      </c>
      <c r="T48" s="2">
        <v>45161.041666666664</v>
      </c>
      <c r="U48" t="s">
        <v>64</v>
      </c>
      <c r="V48" t="s">
        <v>29</v>
      </c>
      <c r="W48" t="s">
        <v>30</v>
      </c>
      <c r="X48">
        <v>8</v>
      </c>
      <c r="Y48">
        <v>10</v>
      </c>
      <c r="Z48" t="s">
        <v>48</v>
      </c>
    </row>
    <row r="49" spans="1:26">
      <c r="A49" t="s">
        <v>106</v>
      </c>
      <c r="B49">
        <v>4</v>
      </c>
      <c r="C49" t="str">
        <f t="shared" si="0"/>
        <v>0-17</v>
      </c>
      <c r="D49" t="s">
        <v>52</v>
      </c>
      <c r="E49" s="2">
        <v>45223</v>
      </c>
      <c r="F49" s="2" t="str">
        <f t="shared" ca="1" si="1"/>
        <v>No</v>
      </c>
      <c r="G49" s="2" t="str">
        <f t="shared" si="2"/>
        <v>Oct-2023</v>
      </c>
      <c r="H49" s="2">
        <v>44968</v>
      </c>
      <c r="I49">
        <v>9</v>
      </c>
      <c r="J49" t="s">
        <v>40</v>
      </c>
      <c r="K49">
        <v>4</v>
      </c>
      <c r="L49" t="s">
        <v>66</v>
      </c>
      <c r="M49" s="9">
        <v>41490</v>
      </c>
      <c r="N49" t="s">
        <v>36</v>
      </c>
      <c r="O49" t="s">
        <v>54</v>
      </c>
      <c r="P49" t="s">
        <v>27</v>
      </c>
      <c r="Q49" s="2">
        <v>45218</v>
      </c>
      <c r="R49" s="13">
        <f t="shared" si="3"/>
        <v>1679.9999999965075</v>
      </c>
      <c r="S49" s="13">
        <f t="shared" si="4"/>
        <v>1145.8917835672883</v>
      </c>
      <c r="T49" s="2">
        <v>45219.166666666664</v>
      </c>
      <c r="U49" t="s">
        <v>42</v>
      </c>
      <c r="V49" t="s">
        <v>29</v>
      </c>
      <c r="W49" t="s">
        <v>47</v>
      </c>
      <c r="X49">
        <v>6</v>
      </c>
      <c r="Y49">
        <v>8</v>
      </c>
      <c r="Z49" t="s">
        <v>68</v>
      </c>
    </row>
    <row r="50" spans="1:26">
      <c r="A50" t="s">
        <v>107</v>
      </c>
      <c r="B50">
        <v>89</v>
      </c>
      <c r="C50" t="str">
        <f t="shared" si="0"/>
        <v>66+</v>
      </c>
      <c r="D50" t="s">
        <v>62</v>
      </c>
      <c r="E50" s="2">
        <v>45008</v>
      </c>
      <c r="F50" s="2" t="str">
        <f t="shared" ca="1" si="1"/>
        <v>No</v>
      </c>
      <c r="G50" s="2" t="str">
        <f t="shared" si="2"/>
        <v>Mar-2023</v>
      </c>
      <c r="H50" s="2">
        <v>45111</v>
      </c>
      <c r="I50">
        <v>15</v>
      </c>
      <c r="J50" t="s">
        <v>57</v>
      </c>
      <c r="K50">
        <v>5</v>
      </c>
      <c r="L50" t="s">
        <v>46</v>
      </c>
      <c r="M50" s="9">
        <v>49827</v>
      </c>
      <c r="N50" t="s">
        <v>36</v>
      </c>
      <c r="O50" t="s">
        <v>54</v>
      </c>
      <c r="P50" t="s">
        <v>41</v>
      </c>
      <c r="Q50" s="2">
        <v>45006</v>
      </c>
      <c r="R50" s="13">
        <f t="shared" si="3"/>
        <v>720</v>
      </c>
      <c r="S50" s="13">
        <f t="shared" si="4"/>
        <v>1230.6613226454447</v>
      </c>
      <c r="T50" s="2">
        <v>45006.5</v>
      </c>
      <c r="U50" t="s">
        <v>55</v>
      </c>
      <c r="V50" t="s">
        <v>29</v>
      </c>
      <c r="W50" t="s">
        <v>30</v>
      </c>
      <c r="X50">
        <v>6</v>
      </c>
      <c r="Y50">
        <v>8</v>
      </c>
      <c r="Z50" t="s">
        <v>68</v>
      </c>
    </row>
    <row r="51" spans="1:26">
      <c r="A51" t="s">
        <v>108</v>
      </c>
      <c r="B51">
        <v>60</v>
      </c>
      <c r="C51" t="str">
        <f t="shared" si="0"/>
        <v>51-65</v>
      </c>
      <c r="D51" t="s">
        <v>41</v>
      </c>
      <c r="E51" s="2">
        <v>45165</v>
      </c>
      <c r="F51" s="2" t="str">
        <f t="shared" ca="1" si="1"/>
        <v>No</v>
      </c>
      <c r="G51" s="2" t="str">
        <f t="shared" si="2"/>
        <v>Aug-2023</v>
      </c>
      <c r="H51" s="2">
        <v>45116</v>
      </c>
      <c r="I51">
        <v>11</v>
      </c>
      <c r="J51" t="s">
        <v>50</v>
      </c>
      <c r="K51">
        <v>1</v>
      </c>
      <c r="L51" t="s">
        <v>66</v>
      </c>
      <c r="M51" s="9">
        <v>42855</v>
      </c>
      <c r="N51" t="s">
        <v>60</v>
      </c>
      <c r="O51" t="s">
        <v>54</v>
      </c>
      <c r="P51" t="s">
        <v>27</v>
      </c>
      <c r="Q51" s="2">
        <v>45160</v>
      </c>
      <c r="R51" s="13">
        <f t="shared" si="3"/>
        <v>2640.0000000034925</v>
      </c>
      <c r="S51" s="13">
        <f t="shared" si="4"/>
        <v>1230.3006012025587</v>
      </c>
      <c r="T51" s="2">
        <v>45161.833333333336</v>
      </c>
      <c r="U51" t="s">
        <v>55</v>
      </c>
      <c r="V51" t="s">
        <v>29</v>
      </c>
      <c r="W51" t="s">
        <v>30</v>
      </c>
      <c r="X51">
        <v>11</v>
      </c>
      <c r="Y51">
        <v>8</v>
      </c>
      <c r="Z51" t="s">
        <v>48</v>
      </c>
    </row>
    <row r="52" spans="1:26">
      <c r="A52" t="s">
        <v>109</v>
      </c>
      <c r="B52">
        <v>14</v>
      </c>
      <c r="C52" t="str">
        <f t="shared" si="0"/>
        <v>0-17</v>
      </c>
      <c r="D52" t="s">
        <v>45</v>
      </c>
      <c r="E52" s="2">
        <v>45030</v>
      </c>
      <c r="F52" s="2" t="str">
        <f t="shared" ca="1" si="1"/>
        <v>No</v>
      </c>
      <c r="G52" s="2" t="str">
        <f t="shared" si="2"/>
        <v>Apr-2023</v>
      </c>
      <c r="H52" s="2">
        <v>45036</v>
      </c>
      <c r="I52">
        <v>6</v>
      </c>
      <c r="J52" t="s">
        <v>57</v>
      </c>
      <c r="K52">
        <v>4</v>
      </c>
      <c r="L52" t="s">
        <v>66</v>
      </c>
      <c r="M52" s="9">
        <v>48106</v>
      </c>
      <c r="N52" t="s">
        <v>36</v>
      </c>
      <c r="O52" t="s">
        <v>26</v>
      </c>
      <c r="P52" t="s">
        <v>27</v>
      </c>
      <c r="Q52" s="2">
        <v>45264</v>
      </c>
      <c r="R52" s="13">
        <f t="shared" si="3"/>
        <v>-337559.99999999651</v>
      </c>
      <c r="S52" s="13">
        <f t="shared" si="4"/>
        <v>1316.0320641283965</v>
      </c>
      <c r="T52" s="2">
        <v>45029.583333333336</v>
      </c>
      <c r="U52" t="s">
        <v>37</v>
      </c>
      <c r="V52" t="s">
        <v>29</v>
      </c>
      <c r="W52" t="s">
        <v>43</v>
      </c>
      <c r="X52">
        <v>4</v>
      </c>
      <c r="Y52">
        <v>12</v>
      </c>
      <c r="Z52" t="s">
        <v>68</v>
      </c>
    </row>
    <row r="53" spans="1:26">
      <c r="A53" t="s">
        <v>110</v>
      </c>
      <c r="B53">
        <v>9</v>
      </c>
      <c r="C53" t="str">
        <f t="shared" si="0"/>
        <v>0-17</v>
      </c>
      <c r="D53" t="s">
        <v>22</v>
      </c>
      <c r="E53" s="2">
        <v>45316</v>
      </c>
      <c r="F53" s="2" t="str">
        <f t="shared" ca="1" si="1"/>
        <v>No</v>
      </c>
      <c r="G53" s="2" t="str">
        <f t="shared" si="2"/>
        <v>Jan-2024</v>
      </c>
      <c r="H53" s="2">
        <v>45317</v>
      </c>
      <c r="I53">
        <v>1</v>
      </c>
      <c r="J53" t="s">
        <v>63</v>
      </c>
      <c r="K53">
        <v>3</v>
      </c>
      <c r="L53" t="s">
        <v>71</v>
      </c>
      <c r="M53" s="9">
        <v>39938</v>
      </c>
      <c r="N53" t="s">
        <v>67</v>
      </c>
      <c r="O53" t="s">
        <v>26</v>
      </c>
      <c r="P53" t="s">
        <v>27</v>
      </c>
      <c r="Q53" s="2">
        <v>45311</v>
      </c>
      <c r="R53" s="13">
        <f t="shared" si="3"/>
        <v>2579.9999999965075</v>
      </c>
      <c r="S53" s="13">
        <f t="shared" si="4"/>
        <v>1996.3527054109616</v>
      </c>
      <c r="T53" s="2">
        <v>45312.791666666664</v>
      </c>
      <c r="U53" t="s">
        <v>37</v>
      </c>
      <c r="V53" t="s">
        <v>29</v>
      </c>
      <c r="W53" t="s">
        <v>43</v>
      </c>
      <c r="X53">
        <v>10</v>
      </c>
      <c r="Y53">
        <v>12</v>
      </c>
      <c r="Z53" t="s">
        <v>31</v>
      </c>
    </row>
    <row r="54" spans="1:26">
      <c r="A54" t="s">
        <v>111</v>
      </c>
      <c r="B54">
        <v>53</v>
      </c>
      <c r="C54" t="str">
        <f t="shared" si="0"/>
        <v>51-65</v>
      </c>
      <c r="D54" t="s">
        <v>45</v>
      </c>
      <c r="E54" s="2">
        <v>45270</v>
      </c>
      <c r="F54" s="2" t="str">
        <f t="shared" ca="1" si="1"/>
        <v>No</v>
      </c>
      <c r="G54" s="2" t="str">
        <f t="shared" si="2"/>
        <v>Dec-2023</v>
      </c>
      <c r="H54" s="2">
        <v>45218</v>
      </c>
      <c r="I54">
        <v>7</v>
      </c>
      <c r="J54" t="s">
        <v>57</v>
      </c>
      <c r="K54">
        <v>5</v>
      </c>
      <c r="L54" t="s">
        <v>24</v>
      </c>
      <c r="M54" s="9">
        <v>41159</v>
      </c>
      <c r="N54" t="s">
        <v>60</v>
      </c>
      <c r="O54" t="s">
        <v>54</v>
      </c>
      <c r="P54" t="s">
        <v>27</v>
      </c>
      <c r="Q54" s="2">
        <v>45270</v>
      </c>
      <c r="R54" s="13">
        <f t="shared" si="3"/>
        <v>-83460.000000003492</v>
      </c>
      <c r="S54" s="13">
        <f t="shared" si="4"/>
        <v>1993.8276553107612</v>
      </c>
      <c r="T54" s="2">
        <v>45212.041666666664</v>
      </c>
      <c r="U54" t="s">
        <v>28</v>
      </c>
      <c r="V54" t="s">
        <v>38</v>
      </c>
      <c r="W54" t="s">
        <v>47</v>
      </c>
      <c r="X54">
        <v>7</v>
      </c>
      <c r="Y54">
        <v>12</v>
      </c>
      <c r="Z54" t="s">
        <v>48</v>
      </c>
    </row>
    <row r="55" spans="1:26">
      <c r="A55" t="s">
        <v>112</v>
      </c>
      <c r="B55">
        <v>2</v>
      </c>
      <c r="C55" t="str">
        <f t="shared" si="0"/>
        <v>0-17</v>
      </c>
      <c r="D55" t="s">
        <v>33</v>
      </c>
      <c r="E55" s="2">
        <v>45539</v>
      </c>
      <c r="F55" s="2" t="str">
        <f t="shared" ca="1" si="1"/>
        <v>No</v>
      </c>
      <c r="G55" s="2" t="str">
        <f t="shared" si="2"/>
        <v>Sep-2024</v>
      </c>
      <c r="H55" s="2">
        <v>45396</v>
      </c>
      <c r="I55">
        <v>5</v>
      </c>
      <c r="J55" t="s">
        <v>34</v>
      </c>
      <c r="K55">
        <v>2</v>
      </c>
      <c r="L55" t="s">
        <v>71</v>
      </c>
      <c r="M55" s="9">
        <v>44710</v>
      </c>
      <c r="N55" t="s">
        <v>67</v>
      </c>
      <c r="O55" t="s">
        <v>26</v>
      </c>
      <c r="P55" t="s">
        <v>27</v>
      </c>
      <c r="Q55" s="2">
        <v>45416</v>
      </c>
      <c r="R55" s="13">
        <f t="shared" si="3"/>
        <v>360</v>
      </c>
      <c r="S55" s="13">
        <f t="shared" si="4"/>
        <v>2252.945891783721</v>
      </c>
      <c r="T55" s="2">
        <v>45416.25</v>
      </c>
      <c r="U55" t="s">
        <v>64</v>
      </c>
      <c r="V55" t="s">
        <v>29</v>
      </c>
      <c r="W55" t="s">
        <v>43</v>
      </c>
      <c r="X55">
        <v>4</v>
      </c>
      <c r="Y55">
        <v>10</v>
      </c>
      <c r="Z55" t="s">
        <v>31</v>
      </c>
    </row>
    <row r="56" spans="1:26">
      <c r="A56" t="s">
        <v>113</v>
      </c>
      <c r="B56">
        <v>84</v>
      </c>
      <c r="C56" t="str">
        <f t="shared" si="0"/>
        <v>66+</v>
      </c>
      <c r="D56" t="s">
        <v>22</v>
      </c>
      <c r="E56" s="2">
        <v>45536</v>
      </c>
      <c r="F56" s="2" t="str">
        <f t="shared" ca="1" si="1"/>
        <v>No</v>
      </c>
      <c r="G56" s="2" t="str">
        <f t="shared" si="2"/>
        <v>Sep-2024</v>
      </c>
      <c r="H56" s="2">
        <v>45304</v>
      </c>
      <c r="I56">
        <v>4</v>
      </c>
      <c r="J56" t="s">
        <v>34</v>
      </c>
      <c r="K56">
        <v>2</v>
      </c>
      <c r="L56" t="s">
        <v>71</v>
      </c>
      <c r="M56" s="9">
        <v>23000</v>
      </c>
      <c r="N56" t="s">
        <v>67</v>
      </c>
      <c r="O56" t="s">
        <v>26</v>
      </c>
      <c r="P56" t="s">
        <v>41</v>
      </c>
      <c r="Q56" s="2">
        <v>45413</v>
      </c>
      <c r="R56" s="13">
        <f t="shared" si="3"/>
        <v>45599.999999996508</v>
      </c>
      <c r="S56" s="13">
        <f t="shared" si="4"/>
        <v>2252.7054108217903</v>
      </c>
      <c r="T56" s="2">
        <v>45444.666666666664</v>
      </c>
      <c r="U56" t="s">
        <v>42</v>
      </c>
      <c r="V56" t="s">
        <v>29</v>
      </c>
      <c r="W56" t="s">
        <v>30</v>
      </c>
      <c r="X56">
        <v>4</v>
      </c>
      <c r="Y56">
        <v>10</v>
      </c>
      <c r="Z56" t="s">
        <v>31</v>
      </c>
    </row>
    <row r="57" spans="1:26">
      <c r="A57" t="s">
        <v>114</v>
      </c>
      <c r="B57">
        <v>60</v>
      </c>
      <c r="C57" t="str">
        <f t="shared" si="0"/>
        <v>51-65</v>
      </c>
      <c r="D57" t="s">
        <v>62</v>
      </c>
      <c r="E57" s="2">
        <v>45093</v>
      </c>
      <c r="F57" s="2" t="str">
        <f t="shared" ca="1" si="1"/>
        <v>No</v>
      </c>
      <c r="G57" s="2" t="str">
        <f t="shared" si="2"/>
        <v>Jun-2023</v>
      </c>
      <c r="H57" s="2">
        <v>45095</v>
      </c>
      <c r="I57">
        <v>2</v>
      </c>
      <c r="J57" t="s">
        <v>57</v>
      </c>
      <c r="K57">
        <v>1</v>
      </c>
      <c r="L57" t="s">
        <v>35</v>
      </c>
      <c r="M57" s="9">
        <v>18806</v>
      </c>
      <c r="N57" t="s">
        <v>25</v>
      </c>
      <c r="O57" t="s">
        <v>54</v>
      </c>
      <c r="P57" t="s">
        <v>27</v>
      </c>
      <c r="Q57" s="2">
        <v>45091</v>
      </c>
      <c r="R57" s="13">
        <f t="shared" si="3"/>
        <v>1139.9999999965075</v>
      </c>
      <c r="S57" s="13">
        <f t="shared" si="4"/>
        <v>2161.6833667336209</v>
      </c>
      <c r="T57" s="2">
        <v>45091.791666666664</v>
      </c>
      <c r="U57" t="s">
        <v>55</v>
      </c>
      <c r="V57" t="s">
        <v>29</v>
      </c>
      <c r="W57" t="s">
        <v>30</v>
      </c>
      <c r="X57">
        <v>10</v>
      </c>
      <c r="Y57">
        <v>10</v>
      </c>
      <c r="Z57" t="s">
        <v>48</v>
      </c>
    </row>
    <row r="58" spans="1:26">
      <c r="A58" t="s">
        <v>115</v>
      </c>
      <c r="B58">
        <v>71</v>
      </c>
      <c r="C58" t="str">
        <f t="shared" si="0"/>
        <v>66+</v>
      </c>
      <c r="D58" t="s">
        <v>62</v>
      </c>
      <c r="E58" s="2">
        <v>45306</v>
      </c>
      <c r="F58" s="2" t="str">
        <f t="shared" ca="1" si="1"/>
        <v>No</v>
      </c>
      <c r="G58" s="2" t="str">
        <f t="shared" si="2"/>
        <v>Jan-2024</v>
      </c>
      <c r="H58" s="2">
        <v>45320</v>
      </c>
      <c r="I58">
        <v>14</v>
      </c>
      <c r="J58" t="s">
        <v>34</v>
      </c>
      <c r="K58">
        <v>3</v>
      </c>
      <c r="L58" t="s">
        <v>71</v>
      </c>
      <c r="M58" s="9">
        <v>17809</v>
      </c>
      <c r="N58" t="s">
        <v>60</v>
      </c>
      <c r="O58" t="s">
        <v>26</v>
      </c>
      <c r="P58" t="s">
        <v>41</v>
      </c>
      <c r="Q58" s="2">
        <v>45304</v>
      </c>
      <c r="R58" s="13">
        <f t="shared" si="3"/>
        <v>959.99999999650754</v>
      </c>
      <c r="S58" s="13">
        <f t="shared" si="4"/>
        <v>2160.240480962078</v>
      </c>
      <c r="T58" s="2">
        <v>45304.666666666664</v>
      </c>
      <c r="U58" t="s">
        <v>55</v>
      </c>
      <c r="V58" t="s">
        <v>29</v>
      </c>
      <c r="W58" t="s">
        <v>30</v>
      </c>
      <c r="X58">
        <v>11</v>
      </c>
      <c r="Y58">
        <v>10</v>
      </c>
      <c r="Z58" t="s">
        <v>31</v>
      </c>
    </row>
    <row r="59" spans="1:26">
      <c r="A59" t="s">
        <v>116</v>
      </c>
      <c r="B59">
        <v>44</v>
      </c>
      <c r="C59" t="str">
        <f t="shared" si="0"/>
        <v>36-50</v>
      </c>
      <c r="D59" t="s">
        <v>41</v>
      </c>
      <c r="E59" s="2">
        <v>45290</v>
      </c>
      <c r="F59" s="2" t="str">
        <f t="shared" ca="1" si="1"/>
        <v>No</v>
      </c>
      <c r="G59" s="2" t="str">
        <f t="shared" si="2"/>
        <v>Dec-2023</v>
      </c>
      <c r="H59" s="2">
        <v>45304</v>
      </c>
      <c r="I59">
        <v>14</v>
      </c>
      <c r="J59" t="s">
        <v>63</v>
      </c>
      <c r="K59">
        <v>4</v>
      </c>
      <c r="L59" t="s">
        <v>46</v>
      </c>
      <c r="M59" s="9">
        <v>19855</v>
      </c>
      <c r="N59" t="s">
        <v>36</v>
      </c>
      <c r="O59" t="s">
        <v>26</v>
      </c>
      <c r="P59" t="s">
        <v>41</v>
      </c>
      <c r="Q59" s="2">
        <v>45289</v>
      </c>
      <c r="R59" s="13">
        <f t="shared" si="3"/>
        <v>2759.9999999965075</v>
      </c>
      <c r="S59" s="13">
        <f t="shared" si="4"/>
        <v>2163.2464929861399</v>
      </c>
      <c r="T59" s="2">
        <v>45290.916666666664</v>
      </c>
      <c r="U59" t="s">
        <v>28</v>
      </c>
      <c r="V59" t="s">
        <v>29</v>
      </c>
      <c r="W59" t="s">
        <v>43</v>
      </c>
      <c r="X59">
        <v>11</v>
      </c>
      <c r="Y59">
        <v>10</v>
      </c>
      <c r="Z59" t="s">
        <v>31</v>
      </c>
    </row>
    <row r="60" spans="1:26">
      <c r="A60" t="s">
        <v>117</v>
      </c>
      <c r="B60">
        <v>8</v>
      </c>
      <c r="C60" t="str">
        <f t="shared" si="0"/>
        <v>0-17</v>
      </c>
      <c r="D60" t="s">
        <v>22</v>
      </c>
      <c r="E60" s="2">
        <v>44993</v>
      </c>
      <c r="F60" s="2" t="str">
        <f t="shared" ca="1" si="1"/>
        <v>No</v>
      </c>
      <c r="G60" s="2" t="str">
        <f t="shared" si="2"/>
        <v>Mar-2023</v>
      </c>
      <c r="H60" s="2">
        <v>45238</v>
      </c>
      <c r="I60">
        <v>8</v>
      </c>
      <c r="J60" t="s">
        <v>40</v>
      </c>
      <c r="K60">
        <v>2</v>
      </c>
      <c r="L60" t="s">
        <v>46</v>
      </c>
      <c r="M60" s="9">
        <v>46876</v>
      </c>
      <c r="N60" t="s">
        <v>67</v>
      </c>
      <c r="O60" t="s">
        <v>54</v>
      </c>
      <c r="P60" t="s">
        <v>27</v>
      </c>
      <c r="Q60" s="2">
        <v>45136</v>
      </c>
      <c r="R60" s="13">
        <f t="shared" si="3"/>
        <v>300.00000000349246</v>
      </c>
      <c r="S60" s="13">
        <f t="shared" si="4"/>
        <v>2161.3226452907561</v>
      </c>
      <c r="T60" s="2">
        <v>45136.208333333336</v>
      </c>
      <c r="U60" t="s">
        <v>55</v>
      </c>
      <c r="V60" t="s">
        <v>29</v>
      </c>
      <c r="W60" t="s">
        <v>30</v>
      </c>
      <c r="X60">
        <v>10</v>
      </c>
      <c r="Y60">
        <v>8</v>
      </c>
      <c r="Z60" t="s">
        <v>31</v>
      </c>
    </row>
    <row r="61" spans="1:26">
      <c r="A61" t="s">
        <v>118</v>
      </c>
      <c r="B61">
        <v>47</v>
      </c>
      <c r="C61" t="str">
        <f t="shared" si="0"/>
        <v>36-50</v>
      </c>
      <c r="D61" t="s">
        <v>52</v>
      </c>
      <c r="E61" s="2">
        <v>44936</v>
      </c>
      <c r="F61" s="2" t="str">
        <f t="shared" ca="1" si="1"/>
        <v>No</v>
      </c>
      <c r="G61" s="2" t="str">
        <f t="shared" si="2"/>
        <v>Jan-2023</v>
      </c>
      <c r="H61" s="2">
        <v>44995</v>
      </c>
      <c r="I61">
        <v>2</v>
      </c>
      <c r="J61" t="s">
        <v>34</v>
      </c>
      <c r="K61">
        <v>1</v>
      </c>
      <c r="L61" t="s">
        <v>35</v>
      </c>
      <c r="M61" s="9">
        <v>34388</v>
      </c>
      <c r="N61" t="s">
        <v>25</v>
      </c>
      <c r="O61" t="s">
        <v>54</v>
      </c>
      <c r="P61" t="s">
        <v>27</v>
      </c>
      <c r="Q61" s="2">
        <v>45195</v>
      </c>
      <c r="R61" s="13">
        <f t="shared" si="3"/>
        <v>360</v>
      </c>
      <c r="S61" s="13">
        <f t="shared" si="4"/>
        <v>2160.9619238478704</v>
      </c>
      <c r="T61" s="2">
        <v>45195.25</v>
      </c>
      <c r="U61" t="s">
        <v>64</v>
      </c>
      <c r="V61" t="s">
        <v>29</v>
      </c>
      <c r="W61" t="s">
        <v>30</v>
      </c>
      <c r="X61">
        <v>6</v>
      </c>
      <c r="Y61">
        <v>10</v>
      </c>
      <c r="Z61" t="s">
        <v>48</v>
      </c>
    </row>
    <row r="62" spans="1:26">
      <c r="A62" t="s">
        <v>119</v>
      </c>
      <c r="B62">
        <v>35</v>
      </c>
      <c r="C62" t="str">
        <f t="shared" si="0"/>
        <v>18-35</v>
      </c>
      <c r="D62" t="s">
        <v>22</v>
      </c>
      <c r="E62" s="2">
        <v>45000</v>
      </c>
      <c r="F62" s="2" t="str">
        <f t="shared" ca="1" si="1"/>
        <v>No</v>
      </c>
      <c r="G62" s="2" t="str">
        <f t="shared" si="2"/>
        <v>Mar-2023</v>
      </c>
      <c r="H62" s="2">
        <v>45011</v>
      </c>
      <c r="I62">
        <v>11</v>
      </c>
      <c r="J62" t="s">
        <v>34</v>
      </c>
      <c r="K62">
        <v>3</v>
      </c>
      <c r="L62" t="s">
        <v>24</v>
      </c>
      <c r="M62" s="9">
        <v>11458</v>
      </c>
      <c r="N62" t="s">
        <v>60</v>
      </c>
      <c r="O62" t="s">
        <v>26</v>
      </c>
      <c r="P62" t="s">
        <v>27</v>
      </c>
      <c r="Q62" s="2">
        <v>45202</v>
      </c>
      <c r="R62" s="13">
        <f t="shared" si="3"/>
        <v>1080</v>
      </c>
      <c r="S62" s="13">
        <f t="shared" si="4"/>
        <v>2161.202404809801</v>
      </c>
      <c r="T62" s="2">
        <v>45202.75</v>
      </c>
      <c r="U62" t="s">
        <v>28</v>
      </c>
      <c r="V62" t="s">
        <v>29</v>
      </c>
      <c r="W62" t="s">
        <v>47</v>
      </c>
      <c r="X62">
        <v>10</v>
      </c>
      <c r="Y62">
        <v>8</v>
      </c>
      <c r="Z62" t="s">
        <v>48</v>
      </c>
    </row>
    <row r="63" spans="1:26">
      <c r="A63" t="s">
        <v>120</v>
      </c>
      <c r="B63">
        <v>78</v>
      </c>
      <c r="C63" t="str">
        <f t="shared" si="0"/>
        <v>66+</v>
      </c>
      <c r="D63" t="s">
        <v>33</v>
      </c>
      <c r="E63" s="2">
        <v>45102</v>
      </c>
      <c r="F63" s="2" t="str">
        <f t="shared" ca="1" si="1"/>
        <v>No</v>
      </c>
      <c r="G63" s="2" t="str">
        <f t="shared" si="2"/>
        <v>Jun-2023</v>
      </c>
      <c r="H63" s="2">
        <v>45106</v>
      </c>
      <c r="I63">
        <v>4</v>
      </c>
      <c r="J63" t="s">
        <v>57</v>
      </c>
      <c r="K63">
        <v>3</v>
      </c>
      <c r="L63" t="s">
        <v>24</v>
      </c>
      <c r="M63" s="9">
        <v>40524</v>
      </c>
      <c r="N63" t="s">
        <v>60</v>
      </c>
      <c r="O63" t="s">
        <v>54</v>
      </c>
      <c r="P63" t="s">
        <v>27</v>
      </c>
      <c r="Q63" s="2">
        <v>45097</v>
      </c>
      <c r="R63" s="13">
        <f t="shared" si="3"/>
        <v>599.99999999650754</v>
      </c>
      <c r="S63" s="13">
        <f t="shared" si="4"/>
        <v>2160.3607214430749</v>
      </c>
      <c r="T63" s="2">
        <v>45097.416666666664</v>
      </c>
      <c r="U63" t="s">
        <v>64</v>
      </c>
      <c r="V63" t="s">
        <v>29</v>
      </c>
      <c r="W63" t="s">
        <v>47</v>
      </c>
      <c r="X63">
        <v>8</v>
      </c>
      <c r="Y63">
        <v>12</v>
      </c>
      <c r="Z63" t="s">
        <v>31</v>
      </c>
    </row>
    <row r="64" spans="1:26">
      <c r="A64" t="s">
        <v>121</v>
      </c>
      <c r="B64">
        <v>81</v>
      </c>
      <c r="C64" t="str">
        <f t="shared" si="0"/>
        <v>66+</v>
      </c>
      <c r="D64" t="s">
        <v>52</v>
      </c>
      <c r="E64" s="2">
        <v>45147</v>
      </c>
      <c r="F64" s="2" t="str">
        <f t="shared" ca="1" si="1"/>
        <v>No</v>
      </c>
      <c r="G64" s="2" t="str">
        <f t="shared" si="2"/>
        <v>Aug-2023</v>
      </c>
      <c r="H64" s="2">
        <v>45188</v>
      </c>
      <c r="I64">
        <v>11</v>
      </c>
      <c r="J64" t="s">
        <v>63</v>
      </c>
      <c r="K64">
        <v>1</v>
      </c>
      <c r="L64" t="s">
        <v>71</v>
      </c>
      <c r="M64" s="9">
        <v>11853</v>
      </c>
      <c r="N64" t="s">
        <v>53</v>
      </c>
      <c r="O64" t="s">
        <v>54</v>
      </c>
      <c r="P64" t="s">
        <v>27</v>
      </c>
      <c r="Q64" s="2">
        <v>45116</v>
      </c>
      <c r="R64" s="13">
        <f t="shared" si="3"/>
        <v>44699.999999996508</v>
      </c>
      <c r="S64" s="13">
        <f t="shared" si="4"/>
        <v>2162.6452905813653</v>
      </c>
      <c r="T64" s="2">
        <v>45147.041666666664</v>
      </c>
      <c r="U64" t="s">
        <v>28</v>
      </c>
      <c r="V64" t="s">
        <v>29</v>
      </c>
      <c r="W64" t="s">
        <v>47</v>
      </c>
      <c r="X64">
        <v>6</v>
      </c>
      <c r="Y64">
        <v>12</v>
      </c>
      <c r="Z64" t="s">
        <v>48</v>
      </c>
    </row>
    <row r="65" spans="1:26">
      <c r="A65" t="s">
        <v>122</v>
      </c>
      <c r="B65">
        <v>36</v>
      </c>
      <c r="C65" t="str">
        <f t="shared" si="0"/>
        <v>36-50</v>
      </c>
      <c r="D65" t="s">
        <v>62</v>
      </c>
      <c r="E65" s="2">
        <v>45094</v>
      </c>
      <c r="F65" s="2" t="str">
        <f t="shared" ca="1" si="1"/>
        <v>No</v>
      </c>
      <c r="G65" s="2" t="str">
        <f t="shared" si="2"/>
        <v>Jun-2023</v>
      </c>
      <c r="H65" s="2">
        <v>45105</v>
      </c>
      <c r="I65">
        <v>11</v>
      </c>
      <c r="J65" t="s">
        <v>40</v>
      </c>
      <c r="K65">
        <v>1</v>
      </c>
      <c r="L65" t="s">
        <v>71</v>
      </c>
      <c r="M65" s="9">
        <v>45477</v>
      </c>
      <c r="N65" t="s">
        <v>53</v>
      </c>
      <c r="O65" t="s">
        <v>54</v>
      </c>
      <c r="P65" t="s">
        <v>41</v>
      </c>
      <c r="Q65" s="2">
        <v>45092</v>
      </c>
      <c r="R65" s="13">
        <f t="shared" si="3"/>
        <v>2759.9999999965075</v>
      </c>
      <c r="S65" s="13">
        <f t="shared" si="4"/>
        <v>2076.6733466935966</v>
      </c>
      <c r="T65" s="2">
        <v>45093.916666666664</v>
      </c>
      <c r="U65" t="s">
        <v>55</v>
      </c>
      <c r="V65" t="s">
        <v>29</v>
      </c>
      <c r="W65" t="s">
        <v>43</v>
      </c>
      <c r="X65">
        <v>10</v>
      </c>
      <c r="Y65">
        <v>12</v>
      </c>
      <c r="Z65" t="s">
        <v>48</v>
      </c>
    </row>
    <row r="66" spans="1:26">
      <c r="A66" t="s">
        <v>123</v>
      </c>
      <c r="B66">
        <v>50</v>
      </c>
      <c r="C66" t="str">
        <f t="shared" si="0"/>
        <v>36-50</v>
      </c>
      <c r="D66" t="s">
        <v>22</v>
      </c>
      <c r="E66" s="2">
        <v>45400</v>
      </c>
      <c r="F66" s="2" t="str">
        <f t="shared" ca="1" si="1"/>
        <v>No</v>
      </c>
      <c r="G66" s="2" t="str">
        <f t="shared" si="2"/>
        <v>Apr-2024</v>
      </c>
      <c r="H66" s="2">
        <v>45410</v>
      </c>
      <c r="I66">
        <v>10</v>
      </c>
      <c r="J66" t="s">
        <v>57</v>
      </c>
      <c r="K66">
        <v>4</v>
      </c>
      <c r="L66" t="s">
        <v>71</v>
      </c>
      <c r="M66" s="9">
        <v>37222</v>
      </c>
      <c r="N66" t="s">
        <v>67</v>
      </c>
      <c r="O66" t="s">
        <v>54</v>
      </c>
      <c r="P66" t="s">
        <v>41</v>
      </c>
      <c r="Q66" s="2">
        <v>45396</v>
      </c>
      <c r="R66" s="13">
        <f t="shared" si="3"/>
        <v>2460.0000000034925</v>
      </c>
      <c r="S66" s="13">
        <f t="shared" si="4"/>
        <v>2071.2625250503102</v>
      </c>
      <c r="T66" s="2">
        <v>45397.708333333336</v>
      </c>
      <c r="U66" t="s">
        <v>28</v>
      </c>
      <c r="V66" t="s">
        <v>29</v>
      </c>
      <c r="W66" t="s">
        <v>30</v>
      </c>
      <c r="X66">
        <v>9</v>
      </c>
      <c r="Y66">
        <v>12</v>
      </c>
      <c r="Z66" t="s">
        <v>31</v>
      </c>
    </row>
    <row r="67" spans="1:26">
      <c r="A67" t="s">
        <v>124</v>
      </c>
      <c r="B67">
        <v>4</v>
      </c>
      <c r="C67" t="str">
        <f t="shared" ref="C67:C130" si="5">IF(B67&lt;18,"0-17",IF(B67&lt;=35,"18-35",IF(B67&lt;=50,"36-50",IF(B67&lt;=65,"51-65","66+"))))</f>
        <v>0-17</v>
      </c>
      <c r="D67" t="s">
        <v>45</v>
      </c>
      <c r="E67" s="2">
        <v>45315</v>
      </c>
      <c r="F67" s="2" t="str">
        <f t="shared" ref="F67:F130" ca="1" si="6">IF(E67&gt;=EDATE(TODAY(),-12),"Yes","No")</f>
        <v>No</v>
      </c>
      <c r="G67" s="2" t="str">
        <f t="shared" ref="G67:G130" si="7">TEXT(E67,"mmm-yyyy")</f>
        <v>Jan-2024</v>
      </c>
      <c r="H67" s="2">
        <v>45316</v>
      </c>
      <c r="I67">
        <v>1</v>
      </c>
      <c r="J67" t="s">
        <v>57</v>
      </c>
      <c r="K67">
        <v>1</v>
      </c>
      <c r="L67" t="s">
        <v>24</v>
      </c>
      <c r="M67" s="9">
        <v>23320</v>
      </c>
      <c r="N67" t="s">
        <v>53</v>
      </c>
      <c r="O67" t="s">
        <v>26</v>
      </c>
      <c r="P67" t="s">
        <v>41</v>
      </c>
      <c r="Q67" s="2">
        <v>45314</v>
      </c>
      <c r="R67" s="13">
        <f t="shared" ref="R67:R130" si="8">(T67-Q67)*1440</f>
        <v>599.99999999650754</v>
      </c>
      <c r="S67" s="13">
        <f t="shared" ref="S67:S130" si="9">AVERAGE(R67:R565)</f>
        <v>2156.2725450903763</v>
      </c>
      <c r="T67" s="2">
        <v>45314.416666666664</v>
      </c>
      <c r="U67" t="s">
        <v>37</v>
      </c>
      <c r="V67" t="s">
        <v>29</v>
      </c>
      <c r="W67" t="s">
        <v>30</v>
      </c>
      <c r="X67">
        <v>6</v>
      </c>
      <c r="Y67">
        <v>12</v>
      </c>
      <c r="Z67" t="s">
        <v>48</v>
      </c>
    </row>
    <row r="68" spans="1:26">
      <c r="A68" t="s">
        <v>125</v>
      </c>
      <c r="B68">
        <v>2</v>
      </c>
      <c r="C68" t="str">
        <f t="shared" si="5"/>
        <v>0-17</v>
      </c>
      <c r="D68" t="s">
        <v>41</v>
      </c>
      <c r="E68" s="2">
        <v>45026</v>
      </c>
      <c r="F68" s="2" t="str">
        <f t="shared" ca="1" si="6"/>
        <v>No</v>
      </c>
      <c r="G68" s="2" t="str">
        <f t="shared" si="7"/>
        <v>Apr-2023</v>
      </c>
      <c r="H68" s="2">
        <v>45056</v>
      </c>
      <c r="I68">
        <v>1</v>
      </c>
      <c r="J68" t="s">
        <v>23</v>
      </c>
      <c r="K68">
        <v>4</v>
      </c>
      <c r="L68" t="s">
        <v>66</v>
      </c>
      <c r="M68" s="9">
        <v>33618</v>
      </c>
      <c r="N68" t="s">
        <v>67</v>
      </c>
      <c r="O68" t="s">
        <v>54</v>
      </c>
      <c r="P68" t="s">
        <v>41</v>
      </c>
      <c r="Q68" s="2">
        <v>45026</v>
      </c>
      <c r="R68" s="13">
        <f t="shared" si="8"/>
        <v>87840</v>
      </c>
      <c r="S68" s="13">
        <f t="shared" si="9"/>
        <v>2156.633266533262</v>
      </c>
      <c r="T68" s="2">
        <v>45087</v>
      </c>
      <c r="U68" t="s">
        <v>42</v>
      </c>
      <c r="V68" t="s">
        <v>29</v>
      </c>
      <c r="W68" t="s">
        <v>30</v>
      </c>
      <c r="X68">
        <v>6</v>
      </c>
      <c r="Y68">
        <v>10</v>
      </c>
      <c r="Z68" t="s">
        <v>68</v>
      </c>
    </row>
    <row r="69" spans="1:26">
      <c r="A69" t="s">
        <v>126</v>
      </c>
      <c r="B69">
        <v>6</v>
      </c>
      <c r="C69" t="str">
        <f t="shared" si="5"/>
        <v>0-17</v>
      </c>
      <c r="D69" t="s">
        <v>45</v>
      </c>
      <c r="E69" s="2">
        <v>45151</v>
      </c>
      <c r="F69" s="2" t="str">
        <f t="shared" ca="1" si="6"/>
        <v>No</v>
      </c>
      <c r="G69" s="2" t="str">
        <f t="shared" si="7"/>
        <v>Aug-2023</v>
      </c>
      <c r="H69" s="2">
        <v>45164</v>
      </c>
      <c r="I69">
        <v>13</v>
      </c>
      <c r="J69" t="s">
        <v>63</v>
      </c>
      <c r="K69">
        <v>4</v>
      </c>
      <c r="L69" t="s">
        <v>46</v>
      </c>
      <c r="M69" s="9">
        <v>22352</v>
      </c>
      <c r="N69" t="s">
        <v>36</v>
      </c>
      <c r="O69" t="s">
        <v>54</v>
      </c>
      <c r="P69" t="s">
        <v>27</v>
      </c>
      <c r="Q69" s="2">
        <v>45268</v>
      </c>
      <c r="R69" s="13">
        <f t="shared" si="8"/>
        <v>-168420.00000000349</v>
      </c>
      <c r="S69" s="13">
        <f t="shared" si="9"/>
        <v>1986.0120240482922</v>
      </c>
      <c r="T69" s="2">
        <v>45151.041666666664</v>
      </c>
      <c r="U69" t="s">
        <v>55</v>
      </c>
      <c r="V69" t="s">
        <v>29</v>
      </c>
      <c r="W69" t="s">
        <v>47</v>
      </c>
      <c r="X69">
        <v>4</v>
      </c>
      <c r="Y69">
        <v>10</v>
      </c>
      <c r="Z69" t="s">
        <v>48</v>
      </c>
    </row>
    <row r="70" spans="1:26">
      <c r="A70" t="s">
        <v>127</v>
      </c>
      <c r="B70">
        <v>54</v>
      </c>
      <c r="C70" t="str">
        <f t="shared" si="5"/>
        <v>51-65</v>
      </c>
      <c r="D70" t="s">
        <v>41</v>
      </c>
      <c r="E70" s="2">
        <v>45259</v>
      </c>
      <c r="F70" s="2" t="str">
        <f t="shared" ca="1" si="6"/>
        <v>No</v>
      </c>
      <c r="G70" s="2" t="str">
        <f t="shared" si="7"/>
        <v>Nov-2023</v>
      </c>
      <c r="H70" s="2">
        <v>45058</v>
      </c>
      <c r="I70">
        <v>6</v>
      </c>
      <c r="J70" t="s">
        <v>40</v>
      </c>
      <c r="K70">
        <v>5</v>
      </c>
      <c r="L70" t="s">
        <v>66</v>
      </c>
      <c r="M70" s="9">
        <v>12297</v>
      </c>
      <c r="N70" t="s">
        <v>67</v>
      </c>
      <c r="O70" t="s">
        <v>26</v>
      </c>
      <c r="P70" t="s">
        <v>27</v>
      </c>
      <c r="Q70" s="2">
        <v>45258</v>
      </c>
      <c r="R70" s="13">
        <f t="shared" si="8"/>
        <v>1260</v>
      </c>
      <c r="S70" s="13">
        <f t="shared" si="9"/>
        <v>2324.6092184370768</v>
      </c>
      <c r="T70" s="2">
        <v>45258.875</v>
      </c>
      <c r="U70" t="s">
        <v>42</v>
      </c>
      <c r="V70" t="s">
        <v>29</v>
      </c>
      <c r="W70" t="s">
        <v>30</v>
      </c>
      <c r="X70">
        <v>7</v>
      </c>
      <c r="Y70">
        <v>10</v>
      </c>
      <c r="Z70" t="s">
        <v>68</v>
      </c>
    </row>
    <row r="71" spans="1:26">
      <c r="A71" t="s">
        <v>128</v>
      </c>
      <c r="B71">
        <v>4</v>
      </c>
      <c r="C71" t="str">
        <f t="shared" si="5"/>
        <v>0-17</v>
      </c>
      <c r="D71" t="s">
        <v>33</v>
      </c>
      <c r="E71" s="2">
        <v>44984</v>
      </c>
      <c r="F71" s="2" t="str">
        <f t="shared" ca="1" si="6"/>
        <v>No</v>
      </c>
      <c r="G71" s="2" t="str">
        <f t="shared" si="7"/>
        <v>Feb-2023</v>
      </c>
      <c r="H71" s="2">
        <v>44988</v>
      </c>
      <c r="I71">
        <v>4</v>
      </c>
      <c r="J71" t="s">
        <v>63</v>
      </c>
      <c r="K71">
        <v>3</v>
      </c>
      <c r="L71" t="s">
        <v>66</v>
      </c>
      <c r="M71" s="9">
        <v>32940</v>
      </c>
      <c r="N71" t="s">
        <v>53</v>
      </c>
      <c r="O71" t="s">
        <v>54</v>
      </c>
      <c r="P71" t="s">
        <v>41</v>
      </c>
      <c r="Q71" s="2">
        <v>44983</v>
      </c>
      <c r="R71" s="13">
        <f t="shared" si="8"/>
        <v>1440</v>
      </c>
      <c r="S71" s="13">
        <f t="shared" si="9"/>
        <v>2413.7074148298625</v>
      </c>
      <c r="T71" s="2">
        <v>44984</v>
      </c>
      <c r="U71" t="s">
        <v>55</v>
      </c>
      <c r="V71" t="s">
        <v>29</v>
      </c>
      <c r="W71" t="s">
        <v>30</v>
      </c>
      <c r="X71">
        <v>4</v>
      </c>
      <c r="Y71">
        <v>12</v>
      </c>
      <c r="Z71" t="s">
        <v>31</v>
      </c>
    </row>
    <row r="72" spans="1:26">
      <c r="A72" t="s">
        <v>129</v>
      </c>
      <c r="B72">
        <v>54</v>
      </c>
      <c r="C72" t="str">
        <f t="shared" si="5"/>
        <v>51-65</v>
      </c>
      <c r="D72" t="s">
        <v>45</v>
      </c>
      <c r="E72" s="2">
        <v>45161</v>
      </c>
      <c r="F72" s="2" t="str">
        <f t="shared" ca="1" si="6"/>
        <v>No</v>
      </c>
      <c r="G72" s="2" t="str">
        <f t="shared" si="7"/>
        <v>Aug-2023</v>
      </c>
      <c r="H72" s="2">
        <v>45164</v>
      </c>
      <c r="I72">
        <v>3</v>
      </c>
      <c r="J72" t="s">
        <v>40</v>
      </c>
      <c r="K72">
        <v>3</v>
      </c>
      <c r="L72" t="s">
        <v>24</v>
      </c>
      <c r="M72" s="9">
        <v>8203</v>
      </c>
      <c r="N72" t="s">
        <v>36</v>
      </c>
      <c r="O72" t="s">
        <v>54</v>
      </c>
      <c r="P72" t="s">
        <v>27</v>
      </c>
      <c r="Q72" s="2">
        <v>45158</v>
      </c>
      <c r="R72" s="13">
        <f t="shared" si="8"/>
        <v>419.99999999650754</v>
      </c>
      <c r="S72" s="13">
        <f t="shared" si="9"/>
        <v>2413.2264529060217</v>
      </c>
      <c r="T72" s="2">
        <v>45158.291666666664</v>
      </c>
      <c r="U72" t="s">
        <v>42</v>
      </c>
      <c r="V72" t="s">
        <v>29</v>
      </c>
      <c r="W72" t="s">
        <v>30</v>
      </c>
      <c r="X72">
        <v>5</v>
      </c>
      <c r="Y72">
        <v>12</v>
      </c>
      <c r="Z72" t="s">
        <v>48</v>
      </c>
    </row>
    <row r="73" spans="1:26">
      <c r="A73" t="s">
        <v>130</v>
      </c>
      <c r="B73">
        <v>63</v>
      </c>
      <c r="C73" t="str">
        <f t="shared" si="5"/>
        <v>51-65</v>
      </c>
      <c r="D73" t="s">
        <v>22</v>
      </c>
      <c r="E73" s="2">
        <v>44959</v>
      </c>
      <c r="F73" s="2" t="str">
        <f t="shared" ca="1" si="6"/>
        <v>No</v>
      </c>
      <c r="G73" s="2" t="str">
        <f t="shared" si="7"/>
        <v>Feb-2023</v>
      </c>
      <c r="H73" s="2">
        <v>44972</v>
      </c>
      <c r="I73">
        <v>13</v>
      </c>
      <c r="J73" t="s">
        <v>63</v>
      </c>
      <c r="K73">
        <v>3</v>
      </c>
      <c r="L73" t="s">
        <v>66</v>
      </c>
      <c r="M73" s="9">
        <v>44267</v>
      </c>
      <c r="N73" t="s">
        <v>53</v>
      </c>
      <c r="O73" t="s">
        <v>54</v>
      </c>
      <c r="P73" t="s">
        <v>27</v>
      </c>
      <c r="Q73" s="2">
        <v>44959</v>
      </c>
      <c r="R73" s="13">
        <f t="shared" si="8"/>
        <v>360</v>
      </c>
      <c r="S73" s="13">
        <f t="shared" si="9"/>
        <v>2413.7074148298834</v>
      </c>
      <c r="T73" s="2">
        <v>44959.25</v>
      </c>
      <c r="U73" t="s">
        <v>37</v>
      </c>
      <c r="V73" t="s">
        <v>29</v>
      </c>
      <c r="W73" t="s">
        <v>30</v>
      </c>
      <c r="X73">
        <v>6</v>
      </c>
      <c r="Y73">
        <v>8</v>
      </c>
      <c r="Z73" t="s">
        <v>31</v>
      </c>
    </row>
    <row r="74" spans="1:26">
      <c r="A74" t="s">
        <v>131</v>
      </c>
      <c r="B74">
        <v>18</v>
      </c>
      <c r="C74" t="str">
        <f t="shared" si="5"/>
        <v>18-35</v>
      </c>
      <c r="D74" t="s">
        <v>22</v>
      </c>
      <c r="E74" s="2">
        <v>45250</v>
      </c>
      <c r="F74" s="2" t="str">
        <f t="shared" ca="1" si="6"/>
        <v>No</v>
      </c>
      <c r="G74" s="2" t="str">
        <f t="shared" si="7"/>
        <v>Nov-2023</v>
      </c>
      <c r="H74" s="2">
        <v>45260</v>
      </c>
      <c r="I74">
        <v>10</v>
      </c>
      <c r="J74" t="s">
        <v>57</v>
      </c>
      <c r="K74">
        <v>5</v>
      </c>
      <c r="L74" t="s">
        <v>35</v>
      </c>
      <c r="M74" s="9">
        <v>42941</v>
      </c>
      <c r="N74" t="s">
        <v>67</v>
      </c>
      <c r="O74" t="s">
        <v>26</v>
      </c>
      <c r="P74" t="s">
        <v>41</v>
      </c>
      <c r="Q74" s="2">
        <v>45248</v>
      </c>
      <c r="R74" s="13">
        <f t="shared" si="8"/>
        <v>59.99999999650754</v>
      </c>
      <c r="S74" s="13">
        <f t="shared" si="9"/>
        <v>2415.1503006014264</v>
      </c>
      <c r="T74" s="2">
        <v>45248.041666666664</v>
      </c>
      <c r="U74" t="s">
        <v>42</v>
      </c>
      <c r="V74" t="s">
        <v>29</v>
      </c>
      <c r="W74" t="s">
        <v>30</v>
      </c>
      <c r="X74">
        <v>10</v>
      </c>
      <c r="Y74">
        <v>10</v>
      </c>
      <c r="Z74" t="s">
        <v>31</v>
      </c>
    </row>
    <row r="75" spans="1:26">
      <c r="A75" t="s">
        <v>132</v>
      </c>
      <c r="B75">
        <v>44</v>
      </c>
      <c r="C75" t="str">
        <f t="shared" si="5"/>
        <v>36-50</v>
      </c>
      <c r="D75" t="s">
        <v>45</v>
      </c>
      <c r="E75" s="2">
        <v>45337</v>
      </c>
      <c r="F75" s="2" t="str">
        <f t="shared" ca="1" si="6"/>
        <v>No</v>
      </c>
      <c r="G75" s="2" t="str">
        <f t="shared" si="7"/>
        <v>Feb-2024</v>
      </c>
      <c r="H75" s="2">
        <v>45341</v>
      </c>
      <c r="I75">
        <v>4</v>
      </c>
      <c r="J75" t="s">
        <v>57</v>
      </c>
      <c r="K75">
        <v>4</v>
      </c>
      <c r="L75" t="s">
        <v>71</v>
      </c>
      <c r="M75" s="9">
        <v>22273</v>
      </c>
      <c r="N75" t="s">
        <v>25</v>
      </c>
      <c r="O75" t="s">
        <v>54</v>
      </c>
      <c r="P75" t="s">
        <v>41</v>
      </c>
      <c r="Q75" s="2">
        <v>45598</v>
      </c>
      <c r="R75" s="13">
        <f t="shared" si="8"/>
        <v>1200.0000000034925</v>
      </c>
      <c r="S75" s="13">
        <f t="shared" si="9"/>
        <v>2415.7515030062432</v>
      </c>
      <c r="T75" s="2">
        <v>45598.833333333336</v>
      </c>
      <c r="U75" t="s">
        <v>28</v>
      </c>
      <c r="V75" t="s">
        <v>29</v>
      </c>
      <c r="W75" t="s">
        <v>43</v>
      </c>
      <c r="X75">
        <v>10</v>
      </c>
      <c r="Y75">
        <v>12</v>
      </c>
      <c r="Z75" t="s">
        <v>31</v>
      </c>
    </row>
    <row r="76" spans="1:26">
      <c r="A76" t="s">
        <v>133</v>
      </c>
      <c r="B76">
        <v>34</v>
      </c>
      <c r="C76" t="str">
        <f t="shared" si="5"/>
        <v>18-35</v>
      </c>
      <c r="D76" t="s">
        <v>22</v>
      </c>
      <c r="E76" s="2">
        <v>44967</v>
      </c>
      <c r="F76" s="2" t="str">
        <f t="shared" ca="1" si="6"/>
        <v>No</v>
      </c>
      <c r="G76" s="2" t="str">
        <f t="shared" si="7"/>
        <v>Feb-2023</v>
      </c>
      <c r="H76" s="2">
        <v>45026</v>
      </c>
      <c r="I76">
        <v>2</v>
      </c>
      <c r="J76" t="s">
        <v>50</v>
      </c>
      <c r="K76">
        <v>4</v>
      </c>
      <c r="L76" t="s">
        <v>35</v>
      </c>
      <c r="M76" s="9">
        <v>30368</v>
      </c>
      <c r="N76" t="s">
        <v>60</v>
      </c>
      <c r="O76" t="s">
        <v>54</v>
      </c>
      <c r="P76" t="s">
        <v>41</v>
      </c>
      <c r="Q76" s="2">
        <v>45197</v>
      </c>
      <c r="R76" s="13">
        <f t="shared" si="8"/>
        <v>1740.0000000034925</v>
      </c>
      <c r="S76" s="13">
        <f t="shared" si="9"/>
        <v>1650.7815631264764</v>
      </c>
      <c r="T76" s="2">
        <v>45198.208333333336</v>
      </c>
      <c r="U76" t="s">
        <v>42</v>
      </c>
      <c r="V76" t="s">
        <v>29</v>
      </c>
      <c r="W76" t="s">
        <v>30</v>
      </c>
      <c r="X76">
        <v>10</v>
      </c>
      <c r="Y76">
        <v>12</v>
      </c>
      <c r="Z76" t="s">
        <v>31</v>
      </c>
    </row>
    <row r="77" spans="1:26">
      <c r="A77" t="s">
        <v>134</v>
      </c>
      <c r="B77">
        <v>74</v>
      </c>
      <c r="C77" t="str">
        <f t="shared" si="5"/>
        <v>66+</v>
      </c>
      <c r="D77" t="s">
        <v>33</v>
      </c>
      <c r="E77" s="2">
        <v>45172</v>
      </c>
      <c r="F77" s="2" t="str">
        <f t="shared" ca="1" si="6"/>
        <v>No</v>
      </c>
      <c r="G77" s="2" t="str">
        <f t="shared" si="7"/>
        <v>Sep-2023</v>
      </c>
      <c r="H77" s="2">
        <v>45008</v>
      </c>
      <c r="I77">
        <v>14</v>
      </c>
      <c r="J77" t="s">
        <v>34</v>
      </c>
      <c r="K77">
        <v>1</v>
      </c>
      <c r="L77" t="s">
        <v>46</v>
      </c>
      <c r="M77" s="9">
        <v>16650</v>
      </c>
      <c r="N77" t="s">
        <v>53</v>
      </c>
      <c r="O77" t="s">
        <v>54</v>
      </c>
      <c r="P77" t="s">
        <v>41</v>
      </c>
      <c r="Q77" s="2">
        <v>45110</v>
      </c>
      <c r="R77" s="13">
        <f t="shared" si="8"/>
        <v>44640</v>
      </c>
      <c r="S77" s="13">
        <f t="shared" si="9"/>
        <v>1650.1803607216598</v>
      </c>
      <c r="T77" s="2">
        <v>45141</v>
      </c>
      <c r="U77" t="s">
        <v>55</v>
      </c>
      <c r="V77" t="s">
        <v>29</v>
      </c>
      <c r="W77" t="s">
        <v>43</v>
      </c>
      <c r="X77">
        <v>6</v>
      </c>
      <c r="Y77">
        <v>12</v>
      </c>
      <c r="Z77" t="s">
        <v>31</v>
      </c>
    </row>
    <row r="78" spans="1:26">
      <c r="A78" t="s">
        <v>135</v>
      </c>
      <c r="B78">
        <v>62</v>
      </c>
      <c r="C78" t="str">
        <f t="shared" si="5"/>
        <v>51-65</v>
      </c>
      <c r="D78" t="s">
        <v>52</v>
      </c>
      <c r="E78" s="2">
        <v>45054</v>
      </c>
      <c r="F78" s="2" t="str">
        <f t="shared" ca="1" si="6"/>
        <v>No</v>
      </c>
      <c r="G78" s="2" t="str">
        <f t="shared" si="7"/>
        <v>May-2023</v>
      </c>
      <c r="H78" s="2">
        <v>45156</v>
      </c>
      <c r="I78">
        <v>13</v>
      </c>
      <c r="J78" t="s">
        <v>23</v>
      </c>
      <c r="K78">
        <v>5</v>
      </c>
      <c r="L78" t="s">
        <v>71</v>
      </c>
      <c r="M78" s="9">
        <v>35984</v>
      </c>
      <c r="N78" t="s">
        <v>67</v>
      </c>
      <c r="O78" t="s">
        <v>54</v>
      </c>
      <c r="P78" t="s">
        <v>41</v>
      </c>
      <c r="Q78" s="2">
        <v>44965</v>
      </c>
      <c r="R78" s="13">
        <f t="shared" si="8"/>
        <v>1080</v>
      </c>
      <c r="S78" s="13">
        <f t="shared" si="9"/>
        <v>1562.7655310623481</v>
      </c>
      <c r="T78" s="2">
        <v>44965.75</v>
      </c>
      <c r="U78" t="s">
        <v>64</v>
      </c>
      <c r="V78" t="s">
        <v>29</v>
      </c>
      <c r="W78" t="s">
        <v>30</v>
      </c>
      <c r="X78">
        <v>10</v>
      </c>
      <c r="Y78">
        <v>8</v>
      </c>
      <c r="Z78" t="s">
        <v>48</v>
      </c>
    </row>
    <row r="79" spans="1:26">
      <c r="A79" t="s">
        <v>136</v>
      </c>
      <c r="B79">
        <v>14</v>
      </c>
      <c r="C79" t="str">
        <f t="shared" si="5"/>
        <v>0-17</v>
      </c>
      <c r="D79" t="s">
        <v>33</v>
      </c>
      <c r="E79" s="2">
        <v>45249</v>
      </c>
      <c r="F79" s="2" t="str">
        <f t="shared" ca="1" si="6"/>
        <v>No</v>
      </c>
      <c r="G79" s="2" t="str">
        <f t="shared" si="7"/>
        <v>Nov-2023</v>
      </c>
      <c r="H79" s="2">
        <v>45258</v>
      </c>
      <c r="I79">
        <v>9</v>
      </c>
      <c r="J79" t="s">
        <v>63</v>
      </c>
      <c r="K79">
        <v>1</v>
      </c>
      <c r="L79" t="s">
        <v>66</v>
      </c>
      <c r="M79" s="9">
        <v>46941</v>
      </c>
      <c r="N79" t="s">
        <v>36</v>
      </c>
      <c r="O79" t="s">
        <v>54</v>
      </c>
      <c r="P79" t="s">
        <v>27</v>
      </c>
      <c r="Q79" s="2">
        <v>45245</v>
      </c>
      <c r="R79" s="13">
        <f t="shared" si="8"/>
        <v>419.99999999650754</v>
      </c>
      <c r="S79" s="13">
        <f t="shared" si="9"/>
        <v>1561.3226452908052</v>
      </c>
      <c r="T79" s="2">
        <v>45245.291666666664</v>
      </c>
      <c r="U79" t="s">
        <v>42</v>
      </c>
      <c r="V79" t="s">
        <v>29</v>
      </c>
      <c r="W79" t="s">
        <v>43</v>
      </c>
      <c r="X79">
        <v>5</v>
      </c>
      <c r="Y79">
        <v>12</v>
      </c>
      <c r="Z79" t="s">
        <v>68</v>
      </c>
    </row>
    <row r="80" spans="1:26">
      <c r="A80" t="s">
        <v>137</v>
      </c>
      <c r="B80">
        <v>48</v>
      </c>
      <c r="C80" t="str">
        <f t="shared" si="5"/>
        <v>36-50</v>
      </c>
      <c r="D80" t="s">
        <v>41</v>
      </c>
      <c r="E80" s="2">
        <v>45085</v>
      </c>
      <c r="F80" s="2" t="str">
        <f t="shared" ca="1" si="6"/>
        <v>No</v>
      </c>
      <c r="G80" s="2" t="str">
        <f t="shared" si="7"/>
        <v>Jun-2023</v>
      </c>
      <c r="H80" s="2">
        <v>45207</v>
      </c>
      <c r="I80">
        <v>4</v>
      </c>
      <c r="J80" t="s">
        <v>23</v>
      </c>
      <c r="K80">
        <v>5</v>
      </c>
      <c r="L80" t="s">
        <v>46</v>
      </c>
      <c r="M80" s="9">
        <v>12382</v>
      </c>
      <c r="N80" t="s">
        <v>53</v>
      </c>
      <c r="O80" t="s">
        <v>54</v>
      </c>
      <c r="P80" t="s">
        <v>41</v>
      </c>
      <c r="Q80" s="2">
        <v>45054</v>
      </c>
      <c r="R80" s="13">
        <f t="shared" si="8"/>
        <v>540</v>
      </c>
      <c r="S80" s="13">
        <f t="shared" si="9"/>
        <v>1563.3667334671647</v>
      </c>
      <c r="T80" s="2">
        <v>45054.375</v>
      </c>
      <c r="U80" t="s">
        <v>42</v>
      </c>
      <c r="V80" t="s">
        <v>29</v>
      </c>
      <c r="W80" t="s">
        <v>30</v>
      </c>
      <c r="X80">
        <v>6</v>
      </c>
      <c r="Y80">
        <v>8</v>
      </c>
      <c r="Z80" t="s">
        <v>48</v>
      </c>
    </row>
    <row r="81" spans="1:26">
      <c r="A81" t="s">
        <v>138</v>
      </c>
      <c r="B81">
        <v>15</v>
      </c>
      <c r="C81" t="str">
        <f t="shared" si="5"/>
        <v>0-17</v>
      </c>
      <c r="D81" t="s">
        <v>33</v>
      </c>
      <c r="E81" s="2">
        <v>45438</v>
      </c>
      <c r="F81" s="2" t="str">
        <f t="shared" ca="1" si="6"/>
        <v>No</v>
      </c>
      <c r="G81" s="2" t="str">
        <f t="shared" si="7"/>
        <v>May-2024</v>
      </c>
      <c r="H81" s="2">
        <v>45418</v>
      </c>
      <c r="I81">
        <v>10</v>
      </c>
      <c r="J81" t="s">
        <v>50</v>
      </c>
      <c r="K81">
        <v>1</v>
      </c>
      <c r="L81" t="s">
        <v>71</v>
      </c>
      <c r="M81" s="9">
        <v>5801</v>
      </c>
      <c r="N81" t="s">
        <v>53</v>
      </c>
      <c r="O81" t="s">
        <v>26</v>
      </c>
      <c r="P81" t="s">
        <v>27</v>
      </c>
      <c r="Q81" s="2">
        <v>45434</v>
      </c>
      <c r="R81" s="13">
        <f t="shared" si="8"/>
        <v>360</v>
      </c>
      <c r="S81" s="13">
        <f t="shared" si="9"/>
        <v>635.35070140302957</v>
      </c>
      <c r="T81" s="2">
        <v>45434.25</v>
      </c>
      <c r="U81" t="s">
        <v>42</v>
      </c>
      <c r="V81" t="s">
        <v>29</v>
      </c>
      <c r="W81" t="s">
        <v>30</v>
      </c>
      <c r="X81">
        <v>10</v>
      </c>
      <c r="Y81">
        <v>8</v>
      </c>
      <c r="Z81" t="s">
        <v>48</v>
      </c>
    </row>
    <row r="82" spans="1:26">
      <c r="A82" t="s">
        <v>139</v>
      </c>
      <c r="B82">
        <v>72</v>
      </c>
      <c r="C82" t="str">
        <f t="shared" si="5"/>
        <v>66+</v>
      </c>
      <c r="D82" t="s">
        <v>41</v>
      </c>
      <c r="E82" s="2">
        <v>45567</v>
      </c>
      <c r="F82" s="2" t="str">
        <f t="shared" ca="1" si="6"/>
        <v>No</v>
      </c>
      <c r="G82" s="2" t="str">
        <f t="shared" si="7"/>
        <v>Oct-2024</v>
      </c>
      <c r="H82" s="2">
        <v>45336</v>
      </c>
      <c r="I82">
        <v>4</v>
      </c>
      <c r="J82" t="s">
        <v>34</v>
      </c>
      <c r="K82">
        <v>2</v>
      </c>
      <c r="L82" t="s">
        <v>66</v>
      </c>
      <c r="M82" s="9">
        <v>46002</v>
      </c>
      <c r="N82" t="s">
        <v>60</v>
      </c>
      <c r="O82" t="s">
        <v>54</v>
      </c>
      <c r="P82" t="s">
        <v>27</v>
      </c>
      <c r="Q82" s="2">
        <v>45567</v>
      </c>
      <c r="R82" s="13">
        <f t="shared" si="8"/>
        <v>720</v>
      </c>
      <c r="S82" s="13">
        <f t="shared" si="9"/>
        <v>726.25250501024402</v>
      </c>
      <c r="T82" s="2">
        <v>45567.5</v>
      </c>
      <c r="U82" t="s">
        <v>55</v>
      </c>
      <c r="V82" t="s">
        <v>29</v>
      </c>
      <c r="W82" t="s">
        <v>30</v>
      </c>
      <c r="X82">
        <v>6</v>
      </c>
      <c r="Y82">
        <v>10</v>
      </c>
      <c r="Z82" t="s">
        <v>48</v>
      </c>
    </row>
    <row r="83" spans="1:26">
      <c r="A83" t="s">
        <v>140</v>
      </c>
      <c r="B83">
        <v>78</v>
      </c>
      <c r="C83" t="str">
        <f t="shared" si="5"/>
        <v>66+</v>
      </c>
      <c r="D83" t="s">
        <v>22</v>
      </c>
      <c r="E83" s="2">
        <v>45396</v>
      </c>
      <c r="F83" s="2" t="str">
        <f t="shared" ca="1" si="6"/>
        <v>No</v>
      </c>
      <c r="G83" s="2" t="str">
        <f t="shared" si="7"/>
        <v>Apr-2024</v>
      </c>
      <c r="H83" s="2">
        <v>45410</v>
      </c>
      <c r="I83">
        <v>14</v>
      </c>
      <c r="J83" t="s">
        <v>63</v>
      </c>
      <c r="K83">
        <v>3</v>
      </c>
      <c r="L83" t="s">
        <v>35</v>
      </c>
      <c r="M83" s="9">
        <v>24733</v>
      </c>
      <c r="N83" t="s">
        <v>67</v>
      </c>
      <c r="O83" t="s">
        <v>26</v>
      </c>
      <c r="P83" t="s">
        <v>27</v>
      </c>
      <c r="Q83" s="2">
        <v>45396</v>
      </c>
      <c r="R83" s="13">
        <f t="shared" si="8"/>
        <v>1679.9999999965075</v>
      </c>
      <c r="S83" s="13">
        <f t="shared" si="9"/>
        <v>726.13226452928905</v>
      </c>
      <c r="T83" s="2">
        <v>45397.166666666664</v>
      </c>
      <c r="U83" t="s">
        <v>42</v>
      </c>
      <c r="V83" t="s">
        <v>29</v>
      </c>
      <c r="W83" t="s">
        <v>30</v>
      </c>
      <c r="X83">
        <v>9</v>
      </c>
      <c r="Y83">
        <v>12</v>
      </c>
      <c r="Z83" t="s">
        <v>48</v>
      </c>
    </row>
    <row r="84" spans="1:26">
      <c r="A84" t="s">
        <v>141</v>
      </c>
      <c r="B84">
        <v>87</v>
      </c>
      <c r="C84" t="str">
        <f t="shared" si="5"/>
        <v>66+</v>
      </c>
      <c r="D84" t="s">
        <v>52</v>
      </c>
      <c r="E84" s="2">
        <v>45073</v>
      </c>
      <c r="F84" s="2" t="str">
        <f t="shared" ca="1" si="6"/>
        <v>No</v>
      </c>
      <c r="G84" s="2" t="str">
        <f t="shared" si="7"/>
        <v>May-2023</v>
      </c>
      <c r="H84" s="2">
        <v>45205</v>
      </c>
      <c r="I84">
        <v>14</v>
      </c>
      <c r="J84" t="s">
        <v>40</v>
      </c>
      <c r="K84">
        <v>3</v>
      </c>
      <c r="L84" t="s">
        <v>71</v>
      </c>
      <c r="M84" s="9">
        <v>14969</v>
      </c>
      <c r="N84" t="s">
        <v>25</v>
      </c>
      <c r="O84" t="s">
        <v>54</v>
      </c>
      <c r="P84" t="s">
        <v>27</v>
      </c>
      <c r="Q84" s="2">
        <v>45071</v>
      </c>
      <c r="R84" s="13">
        <f t="shared" si="8"/>
        <v>1740.0000000034925</v>
      </c>
      <c r="S84" s="13">
        <f t="shared" si="9"/>
        <v>723.24649298620295</v>
      </c>
      <c r="T84" s="2">
        <v>45072.208333333336</v>
      </c>
      <c r="U84" t="s">
        <v>55</v>
      </c>
      <c r="V84" t="s">
        <v>29</v>
      </c>
      <c r="W84" t="s">
        <v>47</v>
      </c>
      <c r="X84">
        <v>6</v>
      </c>
      <c r="Y84">
        <v>8</v>
      </c>
      <c r="Z84" t="s">
        <v>68</v>
      </c>
    </row>
    <row r="85" spans="1:26">
      <c r="A85" t="s">
        <v>142</v>
      </c>
      <c r="B85">
        <v>62</v>
      </c>
      <c r="C85" t="str">
        <f t="shared" si="5"/>
        <v>51-65</v>
      </c>
      <c r="D85" t="s">
        <v>22</v>
      </c>
      <c r="E85" s="2">
        <v>45198</v>
      </c>
      <c r="F85" s="2" t="str">
        <f t="shared" ca="1" si="6"/>
        <v>No</v>
      </c>
      <c r="G85" s="2" t="str">
        <f t="shared" si="7"/>
        <v>Sep-2023</v>
      </c>
      <c r="H85" s="2">
        <v>44995</v>
      </c>
      <c r="I85">
        <v>4</v>
      </c>
      <c r="J85" t="s">
        <v>34</v>
      </c>
      <c r="K85">
        <v>4</v>
      </c>
      <c r="L85" t="s">
        <v>66</v>
      </c>
      <c r="M85" s="9">
        <v>40969</v>
      </c>
      <c r="N85" t="s">
        <v>36</v>
      </c>
      <c r="O85" t="s">
        <v>26</v>
      </c>
      <c r="P85" t="s">
        <v>41</v>
      </c>
      <c r="Q85" s="2">
        <v>45195</v>
      </c>
      <c r="R85" s="13">
        <f t="shared" si="8"/>
        <v>2160</v>
      </c>
      <c r="S85" s="13">
        <f t="shared" si="9"/>
        <v>722.88577154331711</v>
      </c>
      <c r="T85" s="2">
        <v>45196.5</v>
      </c>
      <c r="U85" t="s">
        <v>55</v>
      </c>
      <c r="V85" t="s">
        <v>29</v>
      </c>
      <c r="W85" t="s">
        <v>30</v>
      </c>
      <c r="X85">
        <v>5</v>
      </c>
      <c r="Y85">
        <v>12</v>
      </c>
      <c r="Z85" t="s">
        <v>48</v>
      </c>
    </row>
    <row r="86" spans="1:26">
      <c r="A86" t="s">
        <v>143</v>
      </c>
      <c r="B86">
        <v>40</v>
      </c>
      <c r="C86" t="str">
        <f t="shared" si="5"/>
        <v>36-50</v>
      </c>
      <c r="D86" t="s">
        <v>62</v>
      </c>
      <c r="E86" s="2">
        <v>45069</v>
      </c>
      <c r="F86" s="2" t="str">
        <f t="shared" ca="1" si="6"/>
        <v>No</v>
      </c>
      <c r="G86" s="2" t="str">
        <f t="shared" si="7"/>
        <v>May-2023</v>
      </c>
      <c r="H86" s="2">
        <v>45075</v>
      </c>
      <c r="I86">
        <v>6</v>
      </c>
      <c r="J86" t="s">
        <v>57</v>
      </c>
      <c r="K86">
        <v>2</v>
      </c>
      <c r="L86" t="s">
        <v>35</v>
      </c>
      <c r="M86" s="9">
        <v>21733</v>
      </c>
      <c r="N86" t="s">
        <v>67</v>
      </c>
      <c r="O86" t="s">
        <v>54</v>
      </c>
      <c r="P86" t="s">
        <v>27</v>
      </c>
      <c r="Q86" s="2">
        <v>45064</v>
      </c>
      <c r="R86" s="13">
        <f t="shared" si="8"/>
        <v>2160</v>
      </c>
      <c r="S86" s="13">
        <f t="shared" si="9"/>
        <v>804.2885771545466</v>
      </c>
      <c r="T86" s="2">
        <v>45065.5</v>
      </c>
      <c r="U86" t="s">
        <v>64</v>
      </c>
      <c r="V86" t="s">
        <v>29</v>
      </c>
      <c r="W86" t="s">
        <v>43</v>
      </c>
      <c r="X86">
        <v>4</v>
      </c>
      <c r="Y86">
        <v>10</v>
      </c>
      <c r="Z86" t="s">
        <v>31</v>
      </c>
    </row>
    <row r="87" spans="1:26">
      <c r="A87" t="s">
        <v>144</v>
      </c>
      <c r="B87">
        <v>85</v>
      </c>
      <c r="C87" t="str">
        <f t="shared" si="5"/>
        <v>66+</v>
      </c>
      <c r="D87" t="s">
        <v>22</v>
      </c>
      <c r="E87" s="2">
        <v>45208</v>
      </c>
      <c r="F87" s="2" t="str">
        <f t="shared" ca="1" si="6"/>
        <v>No</v>
      </c>
      <c r="G87" s="2" t="str">
        <f t="shared" si="7"/>
        <v>Oct-2023</v>
      </c>
      <c r="H87" s="2">
        <v>45192</v>
      </c>
      <c r="I87">
        <v>13</v>
      </c>
      <c r="J87" t="s">
        <v>50</v>
      </c>
      <c r="K87">
        <v>3</v>
      </c>
      <c r="L87" t="s">
        <v>46</v>
      </c>
      <c r="M87" s="9">
        <v>37449</v>
      </c>
      <c r="N87" t="s">
        <v>36</v>
      </c>
      <c r="O87" t="s">
        <v>26</v>
      </c>
      <c r="P87" t="s">
        <v>27</v>
      </c>
      <c r="Q87" s="2">
        <v>45055</v>
      </c>
      <c r="R87" s="13">
        <f t="shared" si="8"/>
        <v>45180</v>
      </c>
      <c r="S87" s="13">
        <f t="shared" si="9"/>
        <v>802.36472945916285</v>
      </c>
      <c r="T87" s="2">
        <v>45086.375</v>
      </c>
      <c r="U87" t="s">
        <v>28</v>
      </c>
      <c r="V87" t="s">
        <v>29</v>
      </c>
      <c r="W87" t="s">
        <v>47</v>
      </c>
      <c r="X87">
        <v>6</v>
      </c>
      <c r="Y87">
        <v>10</v>
      </c>
      <c r="Z87" t="s">
        <v>48</v>
      </c>
    </row>
    <row r="88" spans="1:26">
      <c r="A88" t="s">
        <v>145</v>
      </c>
      <c r="B88">
        <v>80</v>
      </c>
      <c r="C88" t="str">
        <f t="shared" si="5"/>
        <v>66+</v>
      </c>
      <c r="D88" t="s">
        <v>41</v>
      </c>
      <c r="E88" s="2">
        <v>45196</v>
      </c>
      <c r="F88" s="2" t="str">
        <f t="shared" ca="1" si="6"/>
        <v>No</v>
      </c>
      <c r="G88" s="2" t="str">
        <f t="shared" si="7"/>
        <v>Sep-2023</v>
      </c>
      <c r="H88" s="2">
        <v>45199</v>
      </c>
      <c r="I88">
        <v>3</v>
      </c>
      <c r="J88" t="s">
        <v>34</v>
      </c>
      <c r="K88">
        <v>4</v>
      </c>
      <c r="L88" t="s">
        <v>46</v>
      </c>
      <c r="M88" s="9">
        <v>31143</v>
      </c>
      <c r="N88" t="s">
        <v>53</v>
      </c>
      <c r="O88" t="s">
        <v>54</v>
      </c>
      <c r="P88" t="s">
        <v>41</v>
      </c>
      <c r="Q88" s="2">
        <v>45193</v>
      </c>
      <c r="R88" s="13">
        <f t="shared" si="8"/>
        <v>1620</v>
      </c>
      <c r="S88" s="13">
        <f t="shared" si="9"/>
        <v>804.04809619263676</v>
      </c>
      <c r="T88" s="2">
        <v>45194.125</v>
      </c>
      <c r="U88" t="s">
        <v>55</v>
      </c>
      <c r="V88" t="s">
        <v>29</v>
      </c>
      <c r="W88" t="s">
        <v>47</v>
      </c>
      <c r="X88">
        <v>7</v>
      </c>
      <c r="Y88">
        <v>8</v>
      </c>
      <c r="Z88" t="s">
        <v>48</v>
      </c>
    </row>
    <row r="89" spans="1:26">
      <c r="A89" t="s">
        <v>146</v>
      </c>
      <c r="B89">
        <v>82</v>
      </c>
      <c r="C89" t="str">
        <f t="shared" si="5"/>
        <v>66+</v>
      </c>
      <c r="D89" t="s">
        <v>22</v>
      </c>
      <c r="E89" s="2">
        <v>45365</v>
      </c>
      <c r="F89" s="2" t="str">
        <f t="shared" ca="1" si="6"/>
        <v>No</v>
      </c>
      <c r="G89" s="2" t="str">
        <f t="shared" si="7"/>
        <v>Mar-2024</v>
      </c>
      <c r="H89" s="2">
        <v>45378</v>
      </c>
      <c r="I89">
        <v>13</v>
      </c>
      <c r="J89" t="s">
        <v>34</v>
      </c>
      <c r="K89">
        <v>2</v>
      </c>
      <c r="L89" t="s">
        <v>46</v>
      </c>
      <c r="M89" s="9">
        <v>30705</v>
      </c>
      <c r="N89" t="s">
        <v>60</v>
      </c>
      <c r="O89" t="s">
        <v>54</v>
      </c>
      <c r="P89" t="s">
        <v>41</v>
      </c>
      <c r="Q89" s="2">
        <v>45568</v>
      </c>
      <c r="R89" s="13">
        <f t="shared" si="8"/>
        <v>419.99999999650754</v>
      </c>
      <c r="S89" s="13">
        <f t="shared" si="9"/>
        <v>806.21242484995139</v>
      </c>
      <c r="T89" s="2">
        <v>45568.291666666664</v>
      </c>
      <c r="U89" t="s">
        <v>37</v>
      </c>
      <c r="V89" t="s">
        <v>29</v>
      </c>
      <c r="W89" t="s">
        <v>30</v>
      </c>
      <c r="X89">
        <v>5</v>
      </c>
      <c r="Y89">
        <v>10</v>
      </c>
      <c r="Z89" t="s">
        <v>68</v>
      </c>
    </row>
    <row r="90" spans="1:26">
      <c r="A90" t="s">
        <v>147</v>
      </c>
      <c r="B90">
        <v>53</v>
      </c>
      <c r="C90" t="str">
        <f t="shared" si="5"/>
        <v>51-65</v>
      </c>
      <c r="D90" t="s">
        <v>22</v>
      </c>
      <c r="E90" s="2">
        <v>45335</v>
      </c>
      <c r="F90" s="2" t="str">
        <f t="shared" ca="1" si="6"/>
        <v>No</v>
      </c>
      <c r="G90" s="2" t="str">
        <f t="shared" si="7"/>
        <v>Feb-2024</v>
      </c>
      <c r="H90" s="2">
        <v>45350</v>
      </c>
      <c r="I90">
        <v>15</v>
      </c>
      <c r="J90" t="s">
        <v>57</v>
      </c>
      <c r="K90">
        <v>3</v>
      </c>
      <c r="L90" t="s">
        <v>46</v>
      </c>
      <c r="M90" s="9">
        <v>33363</v>
      </c>
      <c r="N90" t="s">
        <v>60</v>
      </c>
      <c r="O90" t="s">
        <v>54</v>
      </c>
      <c r="P90" t="s">
        <v>27</v>
      </c>
      <c r="Q90" s="2">
        <v>45567</v>
      </c>
      <c r="R90" s="13">
        <f t="shared" si="8"/>
        <v>120.00000000349246</v>
      </c>
      <c r="S90" s="13">
        <f t="shared" si="9"/>
        <v>807.17434869765373</v>
      </c>
      <c r="T90" s="2">
        <v>45567.083333333336</v>
      </c>
      <c r="U90" t="s">
        <v>42</v>
      </c>
      <c r="V90" t="s">
        <v>29</v>
      </c>
      <c r="W90" t="s">
        <v>43</v>
      </c>
      <c r="X90">
        <v>8</v>
      </c>
      <c r="Y90">
        <v>10</v>
      </c>
      <c r="Z90" t="s">
        <v>68</v>
      </c>
    </row>
    <row r="91" spans="1:26">
      <c r="A91" t="s">
        <v>148</v>
      </c>
      <c r="B91">
        <v>24</v>
      </c>
      <c r="C91" t="str">
        <f t="shared" si="5"/>
        <v>18-35</v>
      </c>
      <c r="D91" t="s">
        <v>52</v>
      </c>
      <c r="E91" s="2">
        <v>45444</v>
      </c>
      <c r="F91" s="2" t="str">
        <f t="shared" ca="1" si="6"/>
        <v>No</v>
      </c>
      <c r="G91" s="2" t="str">
        <f t="shared" si="7"/>
        <v>Jun-2024</v>
      </c>
      <c r="H91" s="2">
        <v>45307</v>
      </c>
      <c r="I91">
        <v>10</v>
      </c>
      <c r="J91" t="s">
        <v>63</v>
      </c>
      <c r="K91">
        <v>1</v>
      </c>
      <c r="L91" t="s">
        <v>24</v>
      </c>
      <c r="M91" s="9">
        <v>35720</v>
      </c>
      <c r="N91" t="s">
        <v>25</v>
      </c>
      <c r="O91" t="s">
        <v>26</v>
      </c>
      <c r="P91" t="s">
        <v>27</v>
      </c>
      <c r="Q91" s="2">
        <v>45352</v>
      </c>
      <c r="R91" s="13">
        <f t="shared" si="8"/>
        <v>360</v>
      </c>
      <c r="S91" s="13">
        <f t="shared" si="9"/>
        <v>810.30060120264977</v>
      </c>
      <c r="T91" s="2">
        <v>45352.25</v>
      </c>
      <c r="U91" t="s">
        <v>37</v>
      </c>
      <c r="V91" t="s">
        <v>29</v>
      </c>
      <c r="W91" t="s">
        <v>43</v>
      </c>
      <c r="X91">
        <v>9</v>
      </c>
      <c r="Y91">
        <v>10</v>
      </c>
      <c r="Z91" t="s">
        <v>31</v>
      </c>
    </row>
    <row r="92" spans="1:26">
      <c r="A92" t="s">
        <v>149</v>
      </c>
      <c r="B92">
        <v>26</v>
      </c>
      <c r="C92" t="str">
        <f t="shared" si="5"/>
        <v>18-35</v>
      </c>
      <c r="D92" t="s">
        <v>22</v>
      </c>
      <c r="E92" s="2">
        <v>45151</v>
      </c>
      <c r="F92" s="2" t="str">
        <f t="shared" ca="1" si="6"/>
        <v>No</v>
      </c>
      <c r="G92" s="2" t="str">
        <f t="shared" si="7"/>
        <v>Aug-2023</v>
      </c>
      <c r="H92" s="2">
        <v>45152</v>
      </c>
      <c r="I92">
        <v>1</v>
      </c>
      <c r="J92" t="s">
        <v>40</v>
      </c>
      <c r="K92">
        <v>5</v>
      </c>
      <c r="L92" t="s">
        <v>71</v>
      </c>
      <c r="M92" s="9">
        <v>14972</v>
      </c>
      <c r="N92" t="s">
        <v>60</v>
      </c>
      <c r="O92" t="s">
        <v>54</v>
      </c>
      <c r="P92" t="s">
        <v>27</v>
      </c>
      <c r="Q92" s="2">
        <v>45177</v>
      </c>
      <c r="R92" s="13">
        <f t="shared" si="8"/>
        <v>1380.0000000034925</v>
      </c>
      <c r="S92" s="13">
        <f t="shared" si="9"/>
        <v>52.785571142529534</v>
      </c>
      <c r="T92" s="2">
        <v>45177.958333333336</v>
      </c>
      <c r="U92" t="s">
        <v>42</v>
      </c>
      <c r="V92" t="s">
        <v>29</v>
      </c>
      <c r="W92" t="s">
        <v>47</v>
      </c>
      <c r="X92">
        <v>5</v>
      </c>
      <c r="Y92">
        <v>12</v>
      </c>
      <c r="Z92" t="s">
        <v>48</v>
      </c>
    </row>
    <row r="93" spans="1:26">
      <c r="A93" t="s">
        <v>150</v>
      </c>
      <c r="B93">
        <v>89</v>
      </c>
      <c r="C93" t="str">
        <f t="shared" si="5"/>
        <v>66+</v>
      </c>
      <c r="D93" t="s">
        <v>52</v>
      </c>
      <c r="E93" s="2">
        <v>45068</v>
      </c>
      <c r="F93" s="2" t="str">
        <f t="shared" ca="1" si="6"/>
        <v>No</v>
      </c>
      <c r="G93" s="2" t="str">
        <f t="shared" si="7"/>
        <v>May-2023</v>
      </c>
      <c r="H93" s="2">
        <v>45073</v>
      </c>
      <c r="I93">
        <v>5</v>
      </c>
      <c r="J93" t="s">
        <v>57</v>
      </c>
      <c r="K93">
        <v>2</v>
      </c>
      <c r="L93" t="s">
        <v>71</v>
      </c>
      <c r="M93" s="9">
        <v>38351</v>
      </c>
      <c r="N93" t="s">
        <v>53</v>
      </c>
      <c r="O93" t="s">
        <v>54</v>
      </c>
      <c r="P93" t="s">
        <v>27</v>
      </c>
      <c r="Q93" s="2">
        <v>45068</v>
      </c>
      <c r="R93" s="13">
        <f t="shared" si="8"/>
        <v>2160</v>
      </c>
      <c r="S93" s="13">
        <f t="shared" si="9"/>
        <v>50.741482966169826</v>
      </c>
      <c r="T93" s="2">
        <v>45069.5</v>
      </c>
      <c r="U93" t="s">
        <v>64</v>
      </c>
      <c r="V93" t="s">
        <v>29</v>
      </c>
      <c r="W93" t="s">
        <v>43</v>
      </c>
      <c r="X93">
        <v>4</v>
      </c>
      <c r="Y93">
        <v>12</v>
      </c>
      <c r="Z93" t="s">
        <v>48</v>
      </c>
    </row>
    <row r="94" spans="1:26">
      <c r="A94" t="s">
        <v>151</v>
      </c>
      <c r="B94">
        <v>60</v>
      </c>
      <c r="C94" t="str">
        <f t="shared" si="5"/>
        <v>51-65</v>
      </c>
      <c r="D94" t="s">
        <v>45</v>
      </c>
      <c r="E94" s="2">
        <v>45418</v>
      </c>
      <c r="F94" s="2" t="str">
        <f t="shared" ca="1" si="6"/>
        <v>No</v>
      </c>
      <c r="G94" s="2" t="str">
        <f t="shared" si="7"/>
        <v>May-2024</v>
      </c>
      <c r="H94" s="2">
        <v>45462</v>
      </c>
      <c r="I94">
        <v>14</v>
      </c>
      <c r="J94" t="s">
        <v>40</v>
      </c>
      <c r="K94">
        <v>4</v>
      </c>
      <c r="L94" t="s">
        <v>24</v>
      </c>
      <c r="M94" s="9">
        <v>41145</v>
      </c>
      <c r="N94" t="s">
        <v>25</v>
      </c>
      <c r="O94" t="s">
        <v>26</v>
      </c>
      <c r="P94" t="s">
        <v>27</v>
      </c>
      <c r="Q94" s="2">
        <v>45388</v>
      </c>
      <c r="R94" s="13">
        <f t="shared" si="8"/>
        <v>360</v>
      </c>
      <c r="S94" s="13">
        <f t="shared" si="9"/>
        <v>51.943887775782066</v>
      </c>
      <c r="T94" s="2">
        <v>45388.25</v>
      </c>
      <c r="U94" t="s">
        <v>55</v>
      </c>
      <c r="V94" t="s">
        <v>29</v>
      </c>
      <c r="W94" t="s">
        <v>30</v>
      </c>
      <c r="X94">
        <v>10</v>
      </c>
      <c r="Y94">
        <v>8</v>
      </c>
      <c r="Z94" t="s">
        <v>48</v>
      </c>
    </row>
    <row r="95" spans="1:26">
      <c r="A95" t="s">
        <v>152</v>
      </c>
      <c r="B95">
        <v>41</v>
      </c>
      <c r="C95" t="str">
        <f t="shared" si="5"/>
        <v>36-50</v>
      </c>
      <c r="D95" t="s">
        <v>62</v>
      </c>
      <c r="E95" s="2">
        <v>45432</v>
      </c>
      <c r="F95" s="2" t="str">
        <f t="shared" ca="1" si="6"/>
        <v>No</v>
      </c>
      <c r="G95" s="2" t="str">
        <f t="shared" si="7"/>
        <v>May-2024</v>
      </c>
      <c r="H95" s="2">
        <v>45435</v>
      </c>
      <c r="I95">
        <v>3</v>
      </c>
      <c r="J95" t="s">
        <v>63</v>
      </c>
      <c r="K95">
        <v>2</v>
      </c>
      <c r="L95" t="s">
        <v>66</v>
      </c>
      <c r="M95" s="9">
        <v>27412</v>
      </c>
      <c r="N95" t="s">
        <v>67</v>
      </c>
      <c r="O95" t="s">
        <v>54</v>
      </c>
      <c r="P95" t="s">
        <v>41</v>
      </c>
      <c r="Q95" s="2">
        <v>45430</v>
      </c>
      <c r="R95" s="13">
        <f t="shared" si="8"/>
        <v>2340</v>
      </c>
      <c r="S95" s="13">
        <f t="shared" si="9"/>
        <v>52.064128256736993</v>
      </c>
      <c r="T95" s="2">
        <v>45431.625</v>
      </c>
      <c r="U95" t="s">
        <v>28</v>
      </c>
      <c r="V95" t="s">
        <v>38</v>
      </c>
      <c r="W95" t="s">
        <v>30</v>
      </c>
      <c r="X95">
        <v>10</v>
      </c>
      <c r="Y95">
        <v>8</v>
      </c>
      <c r="Z95" t="s">
        <v>31</v>
      </c>
    </row>
    <row r="96" spans="1:26">
      <c r="A96" t="s">
        <v>153</v>
      </c>
      <c r="B96">
        <v>29</v>
      </c>
      <c r="C96" t="str">
        <f t="shared" si="5"/>
        <v>18-35</v>
      </c>
      <c r="D96" t="s">
        <v>52</v>
      </c>
      <c r="E96" s="2">
        <v>45020</v>
      </c>
      <c r="F96" s="2" t="str">
        <f t="shared" ca="1" si="6"/>
        <v>No</v>
      </c>
      <c r="G96" s="2" t="str">
        <f t="shared" si="7"/>
        <v>Apr-2023</v>
      </c>
      <c r="H96" s="2">
        <v>45111</v>
      </c>
      <c r="I96">
        <v>3</v>
      </c>
      <c r="J96" t="s">
        <v>34</v>
      </c>
      <c r="K96">
        <v>4</v>
      </c>
      <c r="L96" t="s">
        <v>66</v>
      </c>
      <c r="M96" s="9">
        <v>29078</v>
      </c>
      <c r="N96" t="s">
        <v>60</v>
      </c>
      <c r="O96" t="s">
        <v>26</v>
      </c>
      <c r="P96" t="s">
        <v>27</v>
      </c>
      <c r="Q96" s="2">
        <v>45015</v>
      </c>
      <c r="R96" s="13">
        <f t="shared" si="8"/>
        <v>2340</v>
      </c>
      <c r="S96" s="13">
        <f t="shared" si="9"/>
        <v>47.494989980176889</v>
      </c>
      <c r="T96" s="2">
        <v>45016.625</v>
      </c>
      <c r="U96" t="s">
        <v>55</v>
      </c>
      <c r="V96" t="s">
        <v>29</v>
      </c>
      <c r="W96" t="s">
        <v>30</v>
      </c>
      <c r="X96">
        <v>5</v>
      </c>
      <c r="Y96">
        <v>10</v>
      </c>
      <c r="Z96" t="s">
        <v>68</v>
      </c>
    </row>
    <row r="97" spans="1:26">
      <c r="A97" t="s">
        <v>154</v>
      </c>
      <c r="B97">
        <v>15</v>
      </c>
      <c r="C97" t="str">
        <f t="shared" si="5"/>
        <v>0-17</v>
      </c>
      <c r="D97" t="s">
        <v>41</v>
      </c>
      <c r="E97" s="2">
        <v>44975</v>
      </c>
      <c r="F97" s="2" t="str">
        <f t="shared" ca="1" si="6"/>
        <v>No</v>
      </c>
      <c r="G97" s="2" t="str">
        <f t="shared" si="7"/>
        <v>Feb-2023</v>
      </c>
      <c r="H97" s="2">
        <v>44984</v>
      </c>
      <c r="I97">
        <v>9</v>
      </c>
      <c r="J97" t="s">
        <v>40</v>
      </c>
      <c r="K97">
        <v>2</v>
      </c>
      <c r="L97" t="s">
        <v>46</v>
      </c>
      <c r="M97" s="9">
        <v>27580</v>
      </c>
      <c r="N97" t="s">
        <v>25</v>
      </c>
      <c r="O97" t="s">
        <v>26</v>
      </c>
      <c r="P97" t="s">
        <v>41</v>
      </c>
      <c r="Q97" s="2">
        <v>44975</v>
      </c>
      <c r="R97" s="13">
        <f t="shared" si="8"/>
        <v>1260</v>
      </c>
      <c r="S97" s="13">
        <f t="shared" si="9"/>
        <v>44.488977956135791</v>
      </c>
      <c r="T97" s="2">
        <v>44975.875</v>
      </c>
      <c r="U97" t="s">
        <v>42</v>
      </c>
      <c r="V97" t="s">
        <v>29</v>
      </c>
      <c r="W97" t="s">
        <v>30</v>
      </c>
      <c r="X97">
        <v>8</v>
      </c>
      <c r="Y97">
        <v>10</v>
      </c>
      <c r="Z97" t="s">
        <v>31</v>
      </c>
    </row>
    <row r="98" spans="1:26">
      <c r="A98" t="s">
        <v>155</v>
      </c>
      <c r="B98">
        <v>45</v>
      </c>
      <c r="C98" t="str">
        <f t="shared" si="5"/>
        <v>36-50</v>
      </c>
      <c r="D98" t="s">
        <v>45</v>
      </c>
      <c r="E98" s="2">
        <v>45039</v>
      </c>
      <c r="F98" s="2" t="str">
        <f t="shared" ca="1" si="6"/>
        <v>No</v>
      </c>
      <c r="G98" s="2" t="str">
        <f t="shared" si="7"/>
        <v>Apr-2023</v>
      </c>
      <c r="H98" s="2">
        <v>45044</v>
      </c>
      <c r="I98">
        <v>5</v>
      </c>
      <c r="J98" t="s">
        <v>50</v>
      </c>
      <c r="K98">
        <v>4</v>
      </c>
      <c r="L98" t="s">
        <v>35</v>
      </c>
      <c r="M98" s="9">
        <v>19855</v>
      </c>
      <c r="N98" t="s">
        <v>53</v>
      </c>
      <c r="O98" t="s">
        <v>26</v>
      </c>
      <c r="P98" t="s">
        <v>41</v>
      </c>
      <c r="Q98" s="2">
        <v>45036</v>
      </c>
      <c r="R98" s="13">
        <f t="shared" si="8"/>
        <v>1499.9999999965075</v>
      </c>
      <c r="S98" s="13">
        <f t="shared" si="9"/>
        <v>129.37875751524703</v>
      </c>
      <c r="T98" s="2">
        <v>45037.041666666664</v>
      </c>
      <c r="U98" t="s">
        <v>28</v>
      </c>
      <c r="V98" t="s">
        <v>29</v>
      </c>
      <c r="W98" t="s">
        <v>30</v>
      </c>
      <c r="X98">
        <v>10</v>
      </c>
      <c r="Y98">
        <v>8</v>
      </c>
      <c r="Z98" t="s">
        <v>48</v>
      </c>
    </row>
    <row r="99" spans="1:26">
      <c r="A99" t="s">
        <v>156</v>
      </c>
      <c r="B99">
        <v>65</v>
      </c>
      <c r="C99" t="str">
        <f t="shared" si="5"/>
        <v>51-65</v>
      </c>
      <c r="D99" t="s">
        <v>52</v>
      </c>
      <c r="E99" s="2">
        <v>45083</v>
      </c>
      <c r="F99" s="2" t="str">
        <f t="shared" ca="1" si="6"/>
        <v>No</v>
      </c>
      <c r="G99" s="2" t="str">
        <f t="shared" si="7"/>
        <v>Jun-2023</v>
      </c>
      <c r="H99" s="2">
        <v>45096</v>
      </c>
      <c r="I99">
        <v>13</v>
      </c>
      <c r="J99" t="s">
        <v>50</v>
      </c>
      <c r="K99">
        <v>3</v>
      </c>
      <c r="L99" t="s">
        <v>66</v>
      </c>
      <c r="M99" s="9">
        <v>41169</v>
      </c>
      <c r="N99" t="s">
        <v>36</v>
      </c>
      <c r="O99" t="s">
        <v>54</v>
      </c>
      <c r="P99" t="s">
        <v>27</v>
      </c>
      <c r="Q99" s="2">
        <v>44991</v>
      </c>
      <c r="R99" s="13">
        <f t="shared" si="8"/>
        <v>59.99999999650754</v>
      </c>
      <c r="S99" s="13">
        <f t="shared" si="9"/>
        <v>126.97394789602255</v>
      </c>
      <c r="T99" s="2">
        <v>44991.041666666664</v>
      </c>
      <c r="U99" t="s">
        <v>55</v>
      </c>
      <c r="V99" t="s">
        <v>38</v>
      </c>
      <c r="W99" t="s">
        <v>47</v>
      </c>
      <c r="X99">
        <v>9</v>
      </c>
      <c r="Y99">
        <v>10</v>
      </c>
      <c r="Z99" t="s">
        <v>68</v>
      </c>
    </row>
    <row r="100" spans="1:26">
      <c r="A100" t="s">
        <v>157</v>
      </c>
      <c r="B100">
        <v>89</v>
      </c>
      <c r="C100" t="str">
        <f t="shared" si="5"/>
        <v>66+</v>
      </c>
      <c r="D100" t="s">
        <v>52</v>
      </c>
      <c r="E100" s="2">
        <v>45090</v>
      </c>
      <c r="F100" s="2" t="str">
        <f t="shared" ca="1" si="6"/>
        <v>No</v>
      </c>
      <c r="G100" s="2" t="str">
        <f t="shared" si="7"/>
        <v>Jun-2023</v>
      </c>
      <c r="H100" s="2">
        <v>45093</v>
      </c>
      <c r="I100">
        <v>3</v>
      </c>
      <c r="J100" t="s">
        <v>57</v>
      </c>
      <c r="K100">
        <v>1</v>
      </c>
      <c r="L100" t="s">
        <v>35</v>
      </c>
      <c r="M100" s="9">
        <v>24569</v>
      </c>
      <c r="N100" t="s">
        <v>36</v>
      </c>
      <c r="O100" t="s">
        <v>54</v>
      </c>
      <c r="P100" t="s">
        <v>27</v>
      </c>
      <c r="Q100" s="2">
        <v>45144</v>
      </c>
      <c r="R100" s="13">
        <f t="shared" si="8"/>
        <v>1139.9999999965075</v>
      </c>
      <c r="S100" s="13">
        <f t="shared" si="9"/>
        <v>127.93587174372493</v>
      </c>
      <c r="T100" s="2">
        <v>45144.791666666664</v>
      </c>
      <c r="U100" t="s">
        <v>28</v>
      </c>
      <c r="V100" t="s">
        <v>38</v>
      </c>
      <c r="W100" t="s">
        <v>30</v>
      </c>
      <c r="X100">
        <v>7</v>
      </c>
      <c r="Y100">
        <v>8</v>
      </c>
      <c r="Z100" t="s">
        <v>68</v>
      </c>
    </row>
    <row r="101" spans="1:26">
      <c r="A101" t="s">
        <v>158</v>
      </c>
      <c r="B101">
        <v>71</v>
      </c>
      <c r="C101" t="str">
        <f t="shared" si="5"/>
        <v>66+</v>
      </c>
      <c r="D101" t="s">
        <v>62</v>
      </c>
      <c r="E101" s="2">
        <v>45507</v>
      </c>
      <c r="F101" s="2" t="str">
        <f t="shared" ca="1" si="6"/>
        <v>No</v>
      </c>
      <c r="G101" s="2" t="str">
        <f t="shared" si="7"/>
        <v>Aug-2024</v>
      </c>
      <c r="H101" s="2">
        <v>45568</v>
      </c>
      <c r="I101">
        <v>2</v>
      </c>
      <c r="J101" t="s">
        <v>63</v>
      </c>
      <c r="K101">
        <v>3</v>
      </c>
      <c r="L101" t="s">
        <v>71</v>
      </c>
      <c r="M101" s="9">
        <v>30738</v>
      </c>
      <c r="N101" t="s">
        <v>53</v>
      </c>
      <c r="O101" t="s">
        <v>54</v>
      </c>
      <c r="P101" t="s">
        <v>27</v>
      </c>
      <c r="Q101" s="2">
        <v>45385</v>
      </c>
      <c r="R101" s="13">
        <f t="shared" si="8"/>
        <v>43380</v>
      </c>
      <c r="S101" s="13">
        <f t="shared" si="9"/>
        <v>211.02204408842832</v>
      </c>
      <c r="T101" s="2">
        <v>45415.125</v>
      </c>
      <c r="U101" t="s">
        <v>42</v>
      </c>
      <c r="V101" t="s">
        <v>29</v>
      </c>
      <c r="W101" t="s">
        <v>30</v>
      </c>
      <c r="X101">
        <v>8</v>
      </c>
      <c r="Y101">
        <v>12</v>
      </c>
      <c r="Z101" t="s">
        <v>31</v>
      </c>
    </row>
    <row r="102" spans="1:26">
      <c r="A102" t="s">
        <v>159</v>
      </c>
      <c r="B102">
        <v>9</v>
      </c>
      <c r="C102" t="str">
        <f t="shared" si="5"/>
        <v>0-17</v>
      </c>
      <c r="D102" t="s">
        <v>41</v>
      </c>
      <c r="E102" s="2">
        <v>45110</v>
      </c>
      <c r="F102" s="2" t="str">
        <f t="shared" ca="1" si="6"/>
        <v>No</v>
      </c>
      <c r="G102" s="2" t="str">
        <f t="shared" si="7"/>
        <v>Jul-2023</v>
      </c>
      <c r="H102" s="2">
        <v>45003</v>
      </c>
      <c r="I102">
        <v>11</v>
      </c>
      <c r="J102" t="s">
        <v>57</v>
      </c>
      <c r="K102">
        <v>1</v>
      </c>
      <c r="L102" t="s">
        <v>35</v>
      </c>
      <c r="M102" s="9">
        <v>11772</v>
      </c>
      <c r="N102" t="s">
        <v>53</v>
      </c>
      <c r="O102" t="s">
        <v>26</v>
      </c>
      <c r="P102" t="s">
        <v>27</v>
      </c>
      <c r="Q102" s="2">
        <v>45049</v>
      </c>
      <c r="R102" s="13">
        <f t="shared" si="8"/>
        <v>44699.999999996508</v>
      </c>
      <c r="S102" s="13">
        <f t="shared" si="9"/>
        <v>125.89178356738623</v>
      </c>
      <c r="T102" s="2">
        <v>45080.041666666664</v>
      </c>
      <c r="U102" t="s">
        <v>64</v>
      </c>
      <c r="V102" t="s">
        <v>29</v>
      </c>
      <c r="W102" t="s">
        <v>47</v>
      </c>
      <c r="X102">
        <v>11</v>
      </c>
      <c r="Y102">
        <v>10</v>
      </c>
      <c r="Z102" t="s">
        <v>68</v>
      </c>
    </row>
    <row r="103" spans="1:26">
      <c r="A103" t="s">
        <v>160</v>
      </c>
      <c r="B103">
        <v>88</v>
      </c>
      <c r="C103" t="str">
        <f t="shared" si="5"/>
        <v>66+</v>
      </c>
      <c r="D103" t="s">
        <v>33</v>
      </c>
      <c r="E103" s="2">
        <v>45321</v>
      </c>
      <c r="F103" s="2" t="str">
        <f t="shared" ca="1" si="6"/>
        <v>No</v>
      </c>
      <c r="G103" s="2" t="str">
        <f t="shared" si="7"/>
        <v>Jan-2024</v>
      </c>
      <c r="H103" s="2">
        <v>45335</v>
      </c>
      <c r="I103">
        <v>14</v>
      </c>
      <c r="J103" t="s">
        <v>57</v>
      </c>
      <c r="K103">
        <v>3</v>
      </c>
      <c r="L103" t="s">
        <v>71</v>
      </c>
      <c r="M103" s="9">
        <v>29874</v>
      </c>
      <c r="N103" t="s">
        <v>36</v>
      </c>
      <c r="O103" t="s">
        <v>54</v>
      </c>
      <c r="P103" t="s">
        <v>27</v>
      </c>
      <c r="Q103" s="2">
        <v>45320</v>
      </c>
      <c r="R103" s="13">
        <f t="shared" si="8"/>
        <v>360</v>
      </c>
      <c r="S103" s="13">
        <f t="shared" si="9"/>
        <v>40.400801603458376</v>
      </c>
      <c r="T103" s="2">
        <v>45320.25</v>
      </c>
      <c r="U103" t="s">
        <v>64</v>
      </c>
      <c r="V103" t="s">
        <v>29</v>
      </c>
      <c r="W103" t="s">
        <v>47</v>
      </c>
      <c r="X103">
        <v>11</v>
      </c>
      <c r="Y103">
        <v>10</v>
      </c>
      <c r="Z103" t="s">
        <v>68</v>
      </c>
    </row>
    <row r="104" spans="1:26">
      <c r="A104" t="s">
        <v>161</v>
      </c>
      <c r="B104">
        <v>1</v>
      </c>
      <c r="C104" t="str">
        <f t="shared" si="5"/>
        <v>0-17</v>
      </c>
      <c r="D104" t="s">
        <v>33</v>
      </c>
      <c r="E104" s="2">
        <v>45317</v>
      </c>
      <c r="F104" s="2" t="str">
        <f t="shared" ca="1" si="6"/>
        <v>No</v>
      </c>
      <c r="G104" s="2" t="str">
        <f t="shared" si="7"/>
        <v>Jan-2024</v>
      </c>
      <c r="H104" s="2">
        <v>45318</v>
      </c>
      <c r="I104">
        <v>1</v>
      </c>
      <c r="J104" t="s">
        <v>23</v>
      </c>
      <c r="K104">
        <v>3</v>
      </c>
      <c r="L104" t="s">
        <v>24</v>
      </c>
      <c r="M104" s="9">
        <v>24731</v>
      </c>
      <c r="N104" t="s">
        <v>25</v>
      </c>
      <c r="O104" t="s">
        <v>54</v>
      </c>
      <c r="P104" t="s">
        <v>41</v>
      </c>
      <c r="Q104" s="2">
        <v>45313</v>
      </c>
      <c r="R104" s="13">
        <f t="shared" si="8"/>
        <v>2820.0000000034925</v>
      </c>
      <c r="S104" s="13">
        <f t="shared" si="9"/>
        <v>44.96993988001848</v>
      </c>
      <c r="T104" s="2">
        <v>45314.958333333336</v>
      </c>
      <c r="U104" t="s">
        <v>55</v>
      </c>
      <c r="V104" t="s">
        <v>29</v>
      </c>
      <c r="W104" t="s">
        <v>47</v>
      </c>
      <c r="X104">
        <v>5</v>
      </c>
      <c r="Y104">
        <v>10</v>
      </c>
      <c r="Z104" t="s">
        <v>48</v>
      </c>
    </row>
    <row r="105" spans="1:26">
      <c r="A105" t="s">
        <v>162</v>
      </c>
      <c r="B105">
        <v>8</v>
      </c>
      <c r="C105" t="str">
        <f t="shared" si="5"/>
        <v>0-17</v>
      </c>
      <c r="D105" t="s">
        <v>52</v>
      </c>
      <c r="E105" s="2">
        <v>45406</v>
      </c>
      <c r="F105" s="2" t="str">
        <f t="shared" ca="1" si="6"/>
        <v>No</v>
      </c>
      <c r="G105" s="2" t="str">
        <f t="shared" si="7"/>
        <v>Apr-2024</v>
      </c>
      <c r="H105" s="2">
        <v>45409</v>
      </c>
      <c r="I105">
        <v>3</v>
      </c>
      <c r="J105" t="s">
        <v>57</v>
      </c>
      <c r="K105">
        <v>2</v>
      </c>
      <c r="L105" t="s">
        <v>24</v>
      </c>
      <c r="M105" s="9">
        <v>15131</v>
      </c>
      <c r="N105" t="s">
        <v>36</v>
      </c>
      <c r="O105" t="s">
        <v>26</v>
      </c>
      <c r="P105" t="s">
        <v>41</v>
      </c>
      <c r="Q105" s="2">
        <v>45401</v>
      </c>
      <c r="R105" s="13">
        <f t="shared" si="8"/>
        <v>2160</v>
      </c>
      <c r="S105" s="13">
        <f t="shared" si="9"/>
        <v>129.37875751528901</v>
      </c>
      <c r="T105" s="2">
        <v>45402.5</v>
      </c>
      <c r="U105" t="s">
        <v>37</v>
      </c>
      <c r="V105" t="s">
        <v>29</v>
      </c>
      <c r="W105" t="s">
        <v>43</v>
      </c>
      <c r="X105">
        <v>8</v>
      </c>
      <c r="Y105">
        <v>12</v>
      </c>
      <c r="Z105" t="s">
        <v>48</v>
      </c>
    </row>
    <row r="106" spans="1:26">
      <c r="A106" t="s">
        <v>163</v>
      </c>
      <c r="B106">
        <v>88</v>
      </c>
      <c r="C106" t="str">
        <f t="shared" si="5"/>
        <v>66+</v>
      </c>
      <c r="D106" t="s">
        <v>22</v>
      </c>
      <c r="E106" s="2">
        <v>45184</v>
      </c>
      <c r="F106" s="2" t="str">
        <f t="shared" ca="1" si="6"/>
        <v>No</v>
      </c>
      <c r="G106" s="2" t="str">
        <f t="shared" si="7"/>
        <v>Sep-2023</v>
      </c>
      <c r="H106" s="2">
        <v>45185</v>
      </c>
      <c r="I106">
        <v>1</v>
      </c>
      <c r="J106" t="s">
        <v>23</v>
      </c>
      <c r="K106">
        <v>5</v>
      </c>
      <c r="L106" t="s">
        <v>46</v>
      </c>
      <c r="M106" s="9">
        <v>5788</v>
      </c>
      <c r="N106" t="s">
        <v>53</v>
      </c>
      <c r="O106" t="s">
        <v>54</v>
      </c>
      <c r="P106" t="s">
        <v>41</v>
      </c>
      <c r="Q106" s="2">
        <v>45239</v>
      </c>
      <c r="R106" s="13">
        <f t="shared" si="8"/>
        <v>959.99999999650754</v>
      </c>
      <c r="S106" s="13">
        <f t="shared" si="9"/>
        <v>125.17034068161469</v>
      </c>
      <c r="T106" s="2">
        <v>45239.666666666664</v>
      </c>
      <c r="U106" t="s">
        <v>42</v>
      </c>
      <c r="V106" t="s">
        <v>29</v>
      </c>
      <c r="W106" t="s">
        <v>43</v>
      </c>
      <c r="X106">
        <v>10</v>
      </c>
      <c r="Y106">
        <v>12</v>
      </c>
      <c r="Z106" t="s">
        <v>68</v>
      </c>
    </row>
    <row r="107" spans="1:26">
      <c r="A107" t="s">
        <v>164</v>
      </c>
      <c r="B107">
        <v>63</v>
      </c>
      <c r="C107" t="str">
        <f t="shared" si="5"/>
        <v>51-65</v>
      </c>
      <c r="D107" t="s">
        <v>41</v>
      </c>
      <c r="E107" s="2">
        <v>45261</v>
      </c>
      <c r="F107" s="2" t="str">
        <f t="shared" ca="1" si="6"/>
        <v>No</v>
      </c>
      <c r="G107" s="2" t="str">
        <f t="shared" si="7"/>
        <v>Dec-2023</v>
      </c>
      <c r="H107" s="2">
        <v>44944</v>
      </c>
      <c r="I107">
        <v>6</v>
      </c>
      <c r="J107" t="s">
        <v>50</v>
      </c>
      <c r="K107">
        <v>4</v>
      </c>
      <c r="L107" t="s">
        <v>66</v>
      </c>
      <c r="M107" s="9">
        <v>21184</v>
      </c>
      <c r="N107" t="s">
        <v>60</v>
      </c>
      <c r="O107" t="s">
        <v>26</v>
      </c>
      <c r="P107" t="s">
        <v>27</v>
      </c>
      <c r="Q107" s="2">
        <v>45231</v>
      </c>
      <c r="R107" s="13">
        <f t="shared" si="8"/>
        <v>43979.999999996508</v>
      </c>
      <c r="S107" s="13">
        <f t="shared" si="9"/>
        <v>123.36673346718582</v>
      </c>
      <c r="T107" s="2">
        <v>45261.541666666664</v>
      </c>
      <c r="U107" t="s">
        <v>55</v>
      </c>
      <c r="V107" t="s">
        <v>29</v>
      </c>
      <c r="W107" t="s">
        <v>30</v>
      </c>
      <c r="X107">
        <v>10</v>
      </c>
      <c r="Y107">
        <v>10</v>
      </c>
      <c r="Z107" t="s">
        <v>68</v>
      </c>
    </row>
    <row r="108" spans="1:26">
      <c r="A108" t="s">
        <v>165</v>
      </c>
      <c r="B108">
        <v>11</v>
      </c>
      <c r="C108" t="str">
        <f t="shared" si="5"/>
        <v>0-17</v>
      </c>
      <c r="D108" t="s">
        <v>45</v>
      </c>
      <c r="E108" s="2">
        <v>45044</v>
      </c>
      <c r="F108" s="2" t="str">
        <f t="shared" ca="1" si="6"/>
        <v>No</v>
      </c>
      <c r="G108" s="2" t="str">
        <f t="shared" si="7"/>
        <v>Apr-2023</v>
      </c>
      <c r="H108" s="2">
        <v>45235</v>
      </c>
      <c r="I108">
        <v>13</v>
      </c>
      <c r="J108" t="s">
        <v>50</v>
      </c>
      <c r="K108">
        <v>4</v>
      </c>
      <c r="L108" t="s">
        <v>46</v>
      </c>
      <c r="M108" s="9">
        <v>35897</v>
      </c>
      <c r="N108" t="s">
        <v>67</v>
      </c>
      <c r="O108" t="s">
        <v>26</v>
      </c>
      <c r="P108" t="s">
        <v>27</v>
      </c>
      <c r="Q108" s="2">
        <v>45043</v>
      </c>
      <c r="R108" s="13">
        <f t="shared" si="8"/>
        <v>2039.9999999965075</v>
      </c>
      <c r="S108" s="13">
        <f t="shared" si="9"/>
        <v>40.641282565389218</v>
      </c>
      <c r="T108" s="2">
        <v>45044.416666666664</v>
      </c>
      <c r="U108" t="s">
        <v>55</v>
      </c>
      <c r="V108" t="s">
        <v>29</v>
      </c>
      <c r="W108" t="s">
        <v>30</v>
      </c>
      <c r="X108">
        <v>5</v>
      </c>
      <c r="Y108">
        <v>8</v>
      </c>
      <c r="Z108" t="s">
        <v>31</v>
      </c>
    </row>
    <row r="109" spans="1:26">
      <c r="A109" t="s">
        <v>166</v>
      </c>
      <c r="B109">
        <v>81</v>
      </c>
      <c r="C109" t="str">
        <f t="shared" si="5"/>
        <v>66+</v>
      </c>
      <c r="D109" t="s">
        <v>22</v>
      </c>
      <c r="E109" s="2">
        <v>44936</v>
      </c>
      <c r="F109" s="2" t="str">
        <f t="shared" ca="1" si="6"/>
        <v>No</v>
      </c>
      <c r="G109" s="2" t="str">
        <f t="shared" si="7"/>
        <v>Jan-2023</v>
      </c>
      <c r="H109" s="2">
        <v>45213</v>
      </c>
      <c r="I109">
        <v>13</v>
      </c>
      <c r="J109" t="s">
        <v>57</v>
      </c>
      <c r="K109">
        <v>4</v>
      </c>
      <c r="L109" t="s">
        <v>71</v>
      </c>
      <c r="M109" s="9">
        <v>7889</v>
      </c>
      <c r="N109" t="s">
        <v>60</v>
      </c>
      <c r="O109" t="s">
        <v>26</v>
      </c>
      <c r="P109" t="s">
        <v>27</v>
      </c>
      <c r="Q109" s="2">
        <v>45197</v>
      </c>
      <c r="R109" s="13">
        <f t="shared" si="8"/>
        <v>660.00000000349246</v>
      </c>
      <c r="S109" s="13">
        <f t="shared" si="9"/>
        <v>39.198396793846136</v>
      </c>
      <c r="T109" s="2">
        <v>45197.458333333336</v>
      </c>
      <c r="U109" t="s">
        <v>64</v>
      </c>
      <c r="V109" t="s">
        <v>29</v>
      </c>
      <c r="W109" t="s">
        <v>30</v>
      </c>
      <c r="X109">
        <v>10</v>
      </c>
      <c r="Y109">
        <v>12</v>
      </c>
      <c r="Z109" t="s">
        <v>31</v>
      </c>
    </row>
    <row r="110" spans="1:26">
      <c r="A110" t="s">
        <v>167</v>
      </c>
      <c r="B110">
        <v>8</v>
      </c>
      <c r="C110" t="str">
        <f t="shared" si="5"/>
        <v>0-17</v>
      </c>
      <c r="D110" t="s">
        <v>22</v>
      </c>
      <c r="E110" s="2">
        <v>45275</v>
      </c>
      <c r="F110" s="2" t="str">
        <f t="shared" ca="1" si="6"/>
        <v>No</v>
      </c>
      <c r="G110" s="2" t="str">
        <f t="shared" si="7"/>
        <v>Dec-2023</v>
      </c>
      <c r="H110" s="2">
        <v>45279</v>
      </c>
      <c r="I110">
        <v>4</v>
      </c>
      <c r="J110" t="s">
        <v>50</v>
      </c>
      <c r="K110">
        <v>1</v>
      </c>
      <c r="L110" t="s">
        <v>46</v>
      </c>
      <c r="M110" s="9">
        <v>14569</v>
      </c>
      <c r="N110" t="s">
        <v>60</v>
      </c>
      <c r="O110" t="s">
        <v>26</v>
      </c>
      <c r="P110" t="s">
        <v>27</v>
      </c>
      <c r="Q110" s="2">
        <v>45242</v>
      </c>
      <c r="R110" s="13">
        <f t="shared" si="8"/>
        <v>44400.000000003492</v>
      </c>
      <c r="S110" s="13">
        <f t="shared" si="9"/>
        <v>38.83767535096036</v>
      </c>
      <c r="T110" s="2">
        <v>45272.833333333336</v>
      </c>
      <c r="U110" t="s">
        <v>28</v>
      </c>
      <c r="V110" t="s">
        <v>29</v>
      </c>
      <c r="W110" t="s">
        <v>43</v>
      </c>
      <c r="X110">
        <v>10</v>
      </c>
      <c r="Y110">
        <v>10</v>
      </c>
      <c r="Z110" t="s">
        <v>68</v>
      </c>
    </row>
    <row r="111" spans="1:26">
      <c r="A111" t="s">
        <v>168</v>
      </c>
      <c r="B111">
        <v>35</v>
      </c>
      <c r="C111" t="str">
        <f t="shared" si="5"/>
        <v>18-35</v>
      </c>
      <c r="D111" t="s">
        <v>41</v>
      </c>
      <c r="E111" s="2">
        <v>45041</v>
      </c>
      <c r="F111" s="2" t="str">
        <f t="shared" ca="1" si="6"/>
        <v>No</v>
      </c>
      <c r="G111" s="2" t="str">
        <f t="shared" si="7"/>
        <v>Apr-2023</v>
      </c>
      <c r="H111" s="2">
        <v>45051</v>
      </c>
      <c r="I111">
        <v>10</v>
      </c>
      <c r="J111" t="s">
        <v>63</v>
      </c>
      <c r="K111">
        <v>4</v>
      </c>
      <c r="L111" t="s">
        <v>35</v>
      </c>
      <c r="M111" s="9">
        <v>26657</v>
      </c>
      <c r="N111" t="s">
        <v>53</v>
      </c>
      <c r="O111" t="s">
        <v>54</v>
      </c>
      <c r="P111" t="s">
        <v>27</v>
      </c>
      <c r="Q111" s="2">
        <v>45041</v>
      </c>
      <c r="R111" s="13">
        <f t="shared" si="8"/>
        <v>1499.9999999965075</v>
      </c>
      <c r="S111" s="13">
        <f t="shared" si="9"/>
        <v>31.142284569383239</v>
      </c>
      <c r="T111" s="2">
        <v>45042.041666666664</v>
      </c>
      <c r="U111" t="s">
        <v>42</v>
      </c>
      <c r="V111" t="s">
        <v>29</v>
      </c>
      <c r="W111" t="s">
        <v>30</v>
      </c>
      <c r="X111">
        <v>7</v>
      </c>
      <c r="Y111">
        <v>10</v>
      </c>
      <c r="Z111" t="s">
        <v>48</v>
      </c>
    </row>
    <row r="112" spans="1:26">
      <c r="A112" t="s">
        <v>169</v>
      </c>
      <c r="B112">
        <v>35</v>
      </c>
      <c r="C112" t="str">
        <f t="shared" si="5"/>
        <v>18-35</v>
      </c>
      <c r="D112" t="s">
        <v>52</v>
      </c>
      <c r="E112" s="2">
        <v>45227</v>
      </c>
      <c r="F112" s="2" t="str">
        <f t="shared" ca="1" si="6"/>
        <v>No</v>
      </c>
      <c r="G112" s="2" t="str">
        <f t="shared" si="7"/>
        <v>Oct-2023</v>
      </c>
      <c r="H112" s="2">
        <v>44996</v>
      </c>
      <c r="I112">
        <v>6</v>
      </c>
      <c r="J112" t="s">
        <v>23</v>
      </c>
      <c r="K112">
        <v>4</v>
      </c>
      <c r="L112" t="s">
        <v>71</v>
      </c>
      <c r="M112" s="9">
        <v>15141</v>
      </c>
      <c r="N112" t="s">
        <v>36</v>
      </c>
      <c r="O112" t="s">
        <v>54</v>
      </c>
      <c r="P112" t="s">
        <v>41</v>
      </c>
      <c r="Q112" s="2">
        <v>45227</v>
      </c>
      <c r="R112" s="13">
        <f t="shared" si="8"/>
        <v>660.00000000349246</v>
      </c>
      <c r="S112" s="13">
        <f t="shared" si="9"/>
        <v>33.547094188628712</v>
      </c>
      <c r="T112" s="2">
        <v>45227.458333333336</v>
      </c>
      <c r="U112" t="s">
        <v>28</v>
      </c>
      <c r="V112" t="s">
        <v>29</v>
      </c>
      <c r="W112" t="s">
        <v>30</v>
      </c>
      <c r="X112">
        <v>7</v>
      </c>
      <c r="Y112">
        <v>12</v>
      </c>
      <c r="Z112" t="s">
        <v>68</v>
      </c>
    </row>
    <row r="113" spans="1:26">
      <c r="A113" t="s">
        <v>170</v>
      </c>
      <c r="B113">
        <v>33</v>
      </c>
      <c r="C113" t="str">
        <f t="shared" si="5"/>
        <v>18-35</v>
      </c>
      <c r="D113" t="s">
        <v>52</v>
      </c>
      <c r="E113" s="2">
        <v>45372</v>
      </c>
      <c r="F113" s="2" t="str">
        <f t="shared" ca="1" si="6"/>
        <v>No</v>
      </c>
      <c r="G113" s="2" t="str">
        <f t="shared" si="7"/>
        <v>Mar-2024</v>
      </c>
      <c r="H113" s="2">
        <v>45373</v>
      </c>
      <c r="I113">
        <v>1</v>
      </c>
      <c r="J113" t="s">
        <v>23</v>
      </c>
      <c r="K113">
        <v>2</v>
      </c>
      <c r="L113" t="s">
        <v>24</v>
      </c>
      <c r="M113" s="9">
        <v>24656</v>
      </c>
      <c r="N113" t="s">
        <v>25</v>
      </c>
      <c r="O113" t="s">
        <v>26</v>
      </c>
      <c r="P113" t="s">
        <v>41</v>
      </c>
      <c r="Q113" s="2">
        <v>45368</v>
      </c>
      <c r="R113" s="13">
        <f t="shared" si="8"/>
        <v>540</v>
      </c>
      <c r="S113" s="13">
        <f t="shared" si="9"/>
        <v>33.30661322669787</v>
      </c>
      <c r="T113" s="2">
        <v>45368.375</v>
      </c>
      <c r="U113" t="s">
        <v>42</v>
      </c>
      <c r="V113" t="s">
        <v>29</v>
      </c>
      <c r="W113" t="s">
        <v>43</v>
      </c>
      <c r="X113">
        <v>4</v>
      </c>
      <c r="Y113">
        <v>8</v>
      </c>
      <c r="Z113" t="s">
        <v>68</v>
      </c>
    </row>
    <row r="114" spans="1:26">
      <c r="A114" t="s">
        <v>171</v>
      </c>
      <c r="B114">
        <v>5</v>
      </c>
      <c r="C114" t="str">
        <f t="shared" si="5"/>
        <v>0-17</v>
      </c>
      <c r="D114" t="s">
        <v>52</v>
      </c>
      <c r="E114" s="2">
        <v>45236</v>
      </c>
      <c r="F114" s="2" t="str">
        <f t="shared" ca="1" si="6"/>
        <v>No</v>
      </c>
      <c r="G114" s="2" t="str">
        <f t="shared" si="7"/>
        <v>Nov-2023</v>
      </c>
      <c r="H114" s="2">
        <v>45091</v>
      </c>
      <c r="I114">
        <v>3</v>
      </c>
      <c r="J114" t="s">
        <v>57</v>
      </c>
      <c r="K114">
        <v>3</v>
      </c>
      <c r="L114" t="s">
        <v>66</v>
      </c>
      <c r="M114" s="9">
        <v>26618</v>
      </c>
      <c r="N114" t="s">
        <v>60</v>
      </c>
      <c r="O114" t="s">
        <v>54</v>
      </c>
      <c r="P114" t="s">
        <v>27</v>
      </c>
      <c r="Q114" s="2">
        <v>45205</v>
      </c>
      <c r="R114" s="13">
        <f t="shared" si="8"/>
        <v>1080</v>
      </c>
      <c r="S114" s="13">
        <f t="shared" si="9"/>
        <v>35.951903807853192</v>
      </c>
      <c r="T114" s="2">
        <v>45205.75</v>
      </c>
      <c r="U114" t="s">
        <v>37</v>
      </c>
      <c r="V114" t="s">
        <v>29</v>
      </c>
      <c r="W114" t="s">
        <v>47</v>
      </c>
      <c r="X114">
        <v>7</v>
      </c>
      <c r="Y114">
        <v>10</v>
      </c>
      <c r="Z114" t="s">
        <v>48</v>
      </c>
    </row>
    <row r="115" spans="1:26">
      <c r="A115" t="s">
        <v>172</v>
      </c>
      <c r="B115">
        <v>41</v>
      </c>
      <c r="C115" t="str">
        <f t="shared" si="5"/>
        <v>36-50</v>
      </c>
      <c r="D115" t="s">
        <v>52</v>
      </c>
      <c r="E115" s="2">
        <v>45539</v>
      </c>
      <c r="F115" s="2" t="str">
        <f t="shared" ca="1" si="6"/>
        <v>No</v>
      </c>
      <c r="G115" s="2" t="str">
        <f t="shared" si="7"/>
        <v>Sep-2024</v>
      </c>
      <c r="H115" s="2">
        <v>45396</v>
      </c>
      <c r="I115">
        <v>5</v>
      </c>
      <c r="J115" t="s">
        <v>50</v>
      </c>
      <c r="K115">
        <v>4</v>
      </c>
      <c r="L115" t="s">
        <v>71</v>
      </c>
      <c r="M115" s="9">
        <v>16934</v>
      </c>
      <c r="N115" t="s">
        <v>36</v>
      </c>
      <c r="O115" t="s">
        <v>54</v>
      </c>
      <c r="P115" t="s">
        <v>27</v>
      </c>
      <c r="Q115" s="2">
        <v>45477</v>
      </c>
      <c r="R115" s="13">
        <f t="shared" si="8"/>
        <v>1200.0000000034925</v>
      </c>
      <c r="S115" s="13">
        <f t="shared" si="9"/>
        <v>34.388777555355183</v>
      </c>
      <c r="T115" s="2">
        <v>45477.833333333336</v>
      </c>
      <c r="U115" t="s">
        <v>64</v>
      </c>
      <c r="V115" t="s">
        <v>29</v>
      </c>
      <c r="W115" t="s">
        <v>43</v>
      </c>
      <c r="X115">
        <v>6</v>
      </c>
      <c r="Y115">
        <v>8</v>
      </c>
      <c r="Z115" t="s">
        <v>48</v>
      </c>
    </row>
    <row r="116" spans="1:26">
      <c r="A116" t="s">
        <v>173</v>
      </c>
      <c r="B116">
        <v>28</v>
      </c>
      <c r="C116" t="str">
        <f t="shared" si="5"/>
        <v>18-35</v>
      </c>
      <c r="D116" t="s">
        <v>33</v>
      </c>
      <c r="E116" s="2">
        <v>45017</v>
      </c>
      <c r="F116" s="2" t="str">
        <f t="shared" ca="1" si="6"/>
        <v>No</v>
      </c>
      <c r="G116" s="2" t="str">
        <f t="shared" si="7"/>
        <v>Apr-2023</v>
      </c>
      <c r="H116" s="2">
        <v>45047</v>
      </c>
      <c r="I116">
        <v>1</v>
      </c>
      <c r="J116" t="s">
        <v>40</v>
      </c>
      <c r="K116">
        <v>5</v>
      </c>
      <c r="L116" t="s">
        <v>71</v>
      </c>
      <c r="M116" s="9">
        <v>47537</v>
      </c>
      <c r="N116" t="s">
        <v>25</v>
      </c>
      <c r="O116" t="s">
        <v>26</v>
      </c>
      <c r="P116" t="s">
        <v>27</v>
      </c>
      <c r="Q116" s="2">
        <v>44986</v>
      </c>
      <c r="R116" s="13">
        <f t="shared" si="8"/>
        <v>1080</v>
      </c>
      <c r="S116" s="13">
        <f t="shared" si="9"/>
        <v>33.787575150538565</v>
      </c>
      <c r="T116" s="2">
        <v>44986.75</v>
      </c>
      <c r="U116" t="s">
        <v>37</v>
      </c>
      <c r="V116" t="s">
        <v>29</v>
      </c>
      <c r="W116" t="s">
        <v>30</v>
      </c>
      <c r="X116">
        <v>8</v>
      </c>
      <c r="Y116">
        <v>8</v>
      </c>
      <c r="Z116" t="s">
        <v>31</v>
      </c>
    </row>
    <row r="117" spans="1:26">
      <c r="A117" t="s">
        <v>174</v>
      </c>
      <c r="B117">
        <v>7</v>
      </c>
      <c r="C117" t="str">
        <f t="shared" si="5"/>
        <v>0-17</v>
      </c>
      <c r="D117" t="s">
        <v>52</v>
      </c>
      <c r="E117" s="2">
        <v>45196</v>
      </c>
      <c r="F117" s="2" t="str">
        <f t="shared" ca="1" si="6"/>
        <v>No</v>
      </c>
      <c r="G117" s="2" t="str">
        <f t="shared" si="7"/>
        <v>Sep-2023</v>
      </c>
      <c r="H117" s="2">
        <v>45199</v>
      </c>
      <c r="I117">
        <v>3</v>
      </c>
      <c r="J117" t="s">
        <v>23</v>
      </c>
      <c r="K117">
        <v>4</v>
      </c>
      <c r="L117" t="s">
        <v>35</v>
      </c>
      <c r="M117" s="9">
        <v>28286</v>
      </c>
      <c r="N117" t="s">
        <v>60</v>
      </c>
      <c r="O117" t="s">
        <v>54</v>
      </c>
      <c r="P117" t="s">
        <v>41</v>
      </c>
      <c r="Q117" s="2">
        <v>45195</v>
      </c>
      <c r="R117" s="13">
        <f t="shared" si="8"/>
        <v>1920.0000000034925</v>
      </c>
      <c r="S117" s="13">
        <f t="shared" si="9"/>
        <v>121.20240480985021</v>
      </c>
      <c r="T117" s="2">
        <v>45196.333333333336</v>
      </c>
      <c r="U117" t="s">
        <v>55</v>
      </c>
      <c r="V117" t="s">
        <v>29</v>
      </c>
      <c r="W117" t="s">
        <v>43</v>
      </c>
      <c r="X117">
        <v>8</v>
      </c>
      <c r="Y117">
        <v>12</v>
      </c>
      <c r="Z117" t="s">
        <v>31</v>
      </c>
    </row>
    <row r="118" spans="1:26">
      <c r="A118" t="s">
        <v>175</v>
      </c>
      <c r="B118">
        <v>73</v>
      </c>
      <c r="C118" t="str">
        <f t="shared" si="5"/>
        <v>66+</v>
      </c>
      <c r="D118" t="s">
        <v>33</v>
      </c>
      <c r="E118" s="2">
        <v>45439</v>
      </c>
      <c r="F118" s="2" t="str">
        <f t="shared" ca="1" si="6"/>
        <v>No</v>
      </c>
      <c r="G118" s="2" t="str">
        <f t="shared" si="7"/>
        <v>May-2024</v>
      </c>
      <c r="H118" s="2">
        <v>45510</v>
      </c>
      <c r="I118">
        <v>12</v>
      </c>
      <c r="J118" t="s">
        <v>57</v>
      </c>
      <c r="K118">
        <v>1</v>
      </c>
      <c r="L118" t="s">
        <v>66</v>
      </c>
      <c r="M118" s="9">
        <v>12612</v>
      </c>
      <c r="N118" t="s">
        <v>25</v>
      </c>
      <c r="O118" t="s">
        <v>26</v>
      </c>
      <c r="P118" t="s">
        <v>27</v>
      </c>
      <c r="Q118" s="2">
        <v>45437</v>
      </c>
      <c r="R118" s="13">
        <f t="shared" si="8"/>
        <v>599.99999999650754</v>
      </c>
      <c r="S118" s="13">
        <f t="shared" si="9"/>
        <v>118.07615230483319</v>
      </c>
      <c r="T118" s="2">
        <v>45437.416666666664</v>
      </c>
      <c r="U118" t="s">
        <v>64</v>
      </c>
      <c r="V118" t="s">
        <v>29</v>
      </c>
      <c r="W118" t="s">
        <v>47</v>
      </c>
      <c r="X118">
        <v>5</v>
      </c>
      <c r="Y118">
        <v>10</v>
      </c>
      <c r="Z118" t="s">
        <v>31</v>
      </c>
    </row>
    <row r="119" spans="1:26">
      <c r="A119" t="s">
        <v>176</v>
      </c>
      <c r="B119">
        <v>72</v>
      </c>
      <c r="C119" t="str">
        <f t="shared" si="5"/>
        <v>66+</v>
      </c>
      <c r="D119" t="s">
        <v>33</v>
      </c>
      <c r="E119" s="2">
        <v>44964</v>
      </c>
      <c r="F119" s="2" t="str">
        <f t="shared" ca="1" si="6"/>
        <v>No</v>
      </c>
      <c r="G119" s="2" t="str">
        <f t="shared" si="7"/>
        <v>Feb-2023</v>
      </c>
      <c r="H119" s="2">
        <v>45176</v>
      </c>
      <c r="I119">
        <v>7</v>
      </c>
      <c r="J119" t="s">
        <v>57</v>
      </c>
      <c r="K119">
        <v>1</v>
      </c>
      <c r="L119" t="s">
        <v>24</v>
      </c>
      <c r="M119" s="9">
        <v>37069</v>
      </c>
      <c r="N119" t="s">
        <v>36</v>
      </c>
      <c r="O119" t="s">
        <v>26</v>
      </c>
      <c r="P119" t="s">
        <v>27</v>
      </c>
      <c r="Q119" s="2">
        <v>45104</v>
      </c>
      <c r="R119" s="13">
        <f t="shared" si="8"/>
        <v>300.00000000349246</v>
      </c>
      <c r="S119" s="13">
        <f t="shared" si="9"/>
        <v>209.09819639302353</v>
      </c>
      <c r="T119" s="2">
        <v>45104.208333333336</v>
      </c>
      <c r="U119" t="s">
        <v>55</v>
      </c>
      <c r="V119" t="s">
        <v>29</v>
      </c>
      <c r="W119" t="s">
        <v>47</v>
      </c>
      <c r="X119">
        <v>7</v>
      </c>
      <c r="Y119">
        <v>10</v>
      </c>
      <c r="Z119" t="s">
        <v>31</v>
      </c>
    </row>
    <row r="120" spans="1:26">
      <c r="A120" t="s">
        <v>177</v>
      </c>
      <c r="B120">
        <v>12</v>
      </c>
      <c r="C120" t="str">
        <f t="shared" si="5"/>
        <v>0-17</v>
      </c>
      <c r="D120" t="s">
        <v>52</v>
      </c>
      <c r="E120" s="2">
        <v>45357</v>
      </c>
      <c r="F120" s="2" t="str">
        <f t="shared" ca="1" si="6"/>
        <v>No</v>
      </c>
      <c r="G120" s="2" t="str">
        <f t="shared" si="7"/>
        <v>Mar-2024</v>
      </c>
      <c r="H120" s="2">
        <v>45632</v>
      </c>
      <c r="I120">
        <v>9</v>
      </c>
      <c r="J120" t="s">
        <v>63</v>
      </c>
      <c r="K120">
        <v>1</v>
      </c>
      <c r="L120" t="s">
        <v>71</v>
      </c>
      <c r="M120" s="9">
        <v>21205</v>
      </c>
      <c r="N120" t="s">
        <v>67</v>
      </c>
      <c r="O120" t="s">
        <v>26</v>
      </c>
      <c r="P120" t="s">
        <v>41</v>
      </c>
      <c r="Q120" s="2">
        <v>45328</v>
      </c>
      <c r="R120" s="13">
        <f t="shared" si="8"/>
        <v>660.00000000349246</v>
      </c>
      <c r="S120" s="13">
        <f t="shared" si="9"/>
        <v>209.3386773549334</v>
      </c>
      <c r="T120" s="2">
        <v>45328.458333333336</v>
      </c>
      <c r="U120" t="s">
        <v>37</v>
      </c>
      <c r="V120" t="s">
        <v>29</v>
      </c>
      <c r="W120" t="s">
        <v>47</v>
      </c>
      <c r="X120">
        <v>4</v>
      </c>
      <c r="Y120">
        <v>8</v>
      </c>
      <c r="Z120" t="s">
        <v>48</v>
      </c>
    </row>
    <row r="121" spans="1:26">
      <c r="A121" t="s">
        <v>178</v>
      </c>
      <c r="B121">
        <v>34</v>
      </c>
      <c r="C121" t="str">
        <f t="shared" si="5"/>
        <v>18-35</v>
      </c>
      <c r="D121" t="s">
        <v>62</v>
      </c>
      <c r="E121" s="2">
        <v>45035</v>
      </c>
      <c r="F121" s="2" t="str">
        <f t="shared" ca="1" si="6"/>
        <v>No</v>
      </c>
      <c r="G121" s="2" t="str">
        <f t="shared" si="7"/>
        <v>Apr-2023</v>
      </c>
      <c r="H121" s="2">
        <v>45037</v>
      </c>
      <c r="I121">
        <v>2</v>
      </c>
      <c r="J121" t="s">
        <v>34</v>
      </c>
      <c r="K121">
        <v>4</v>
      </c>
      <c r="L121" t="s">
        <v>71</v>
      </c>
      <c r="M121" s="9">
        <v>32331</v>
      </c>
      <c r="N121" t="s">
        <v>36</v>
      </c>
      <c r="O121" t="s">
        <v>26</v>
      </c>
      <c r="P121" t="s">
        <v>27</v>
      </c>
      <c r="Q121" s="2">
        <v>45033</v>
      </c>
      <c r="R121" s="13">
        <f t="shared" si="8"/>
        <v>1679.9999999965075</v>
      </c>
      <c r="S121" s="13">
        <f t="shared" si="9"/>
        <v>208.85771543107168</v>
      </c>
      <c r="T121" s="2">
        <v>45034.166666666664</v>
      </c>
      <c r="U121" t="s">
        <v>42</v>
      </c>
      <c r="V121" t="s">
        <v>29</v>
      </c>
      <c r="W121" t="s">
        <v>47</v>
      </c>
      <c r="X121">
        <v>10</v>
      </c>
      <c r="Y121">
        <v>12</v>
      </c>
      <c r="Z121" t="s">
        <v>68</v>
      </c>
    </row>
    <row r="122" spans="1:26">
      <c r="A122" t="s">
        <v>179</v>
      </c>
      <c r="B122">
        <v>33</v>
      </c>
      <c r="C122" t="str">
        <f t="shared" si="5"/>
        <v>18-35</v>
      </c>
      <c r="D122" t="s">
        <v>45</v>
      </c>
      <c r="E122" s="2">
        <v>44968</v>
      </c>
      <c r="F122" s="2" t="str">
        <f t="shared" ca="1" si="6"/>
        <v>No</v>
      </c>
      <c r="G122" s="2" t="str">
        <f t="shared" si="7"/>
        <v>Feb-2023</v>
      </c>
      <c r="H122" s="2">
        <v>45244</v>
      </c>
      <c r="I122">
        <v>12</v>
      </c>
      <c r="J122" t="s">
        <v>34</v>
      </c>
      <c r="K122">
        <v>2</v>
      </c>
      <c r="L122" t="s">
        <v>35</v>
      </c>
      <c r="M122" s="9">
        <v>18934</v>
      </c>
      <c r="N122" t="s">
        <v>53</v>
      </c>
      <c r="O122" t="s">
        <v>26</v>
      </c>
      <c r="P122" t="s">
        <v>27</v>
      </c>
      <c r="Q122" s="2">
        <v>45228</v>
      </c>
      <c r="R122" s="13">
        <f t="shared" si="8"/>
        <v>1080</v>
      </c>
      <c r="S122" s="13">
        <f t="shared" si="9"/>
        <v>208.01603206434521</v>
      </c>
      <c r="T122" s="2">
        <v>45228.75</v>
      </c>
      <c r="U122" t="s">
        <v>55</v>
      </c>
      <c r="V122" t="s">
        <v>29</v>
      </c>
      <c r="W122" t="s">
        <v>47</v>
      </c>
      <c r="X122">
        <v>4</v>
      </c>
      <c r="Y122">
        <v>12</v>
      </c>
      <c r="Z122" t="s">
        <v>31</v>
      </c>
    </row>
    <row r="123" spans="1:26">
      <c r="A123" t="s">
        <v>180</v>
      </c>
      <c r="B123">
        <v>48</v>
      </c>
      <c r="C123" t="str">
        <f t="shared" si="5"/>
        <v>36-50</v>
      </c>
      <c r="D123" t="s">
        <v>22</v>
      </c>
      <c r="E123" s="2">
        <v>45357</v>
      </c>
      <c r="F123" s="2" t="str">
        <f t="shared" ca="1" si="6"/>
        <v>No</v>
      </c>
      <c r="G123" s="2" t="str">
        <f t="shared" si="7"/>
        <v>Mar-2024</v>
      </c>
      <c r="H123" s="2">
        <v>45418</v>
      </c>
      <c r="I123">
        <v>2</v>
      </c>
      <c r="J123" t="s">
        <v>23</v>
      </c>
      <c r="K123">
        <v>5</v>
      </c>
      <c r="L123" t="s">
        <v>46</v>
      </c>
      <c r="M123" s="9">
        <v>15095</v>
      </c>
      <c r="N123" t="s">
        <v>25</v>
      </c>
      <c r="O123" t="s">
        <v>26</v>
      </c>
      <c r="P123" t="s">
        <v>27</v>
      </c>
      <c r="Q123" s="2">
        <v>45297</v>
      </c>
      <c r="R123" s="13">
        <f t="shared" si="8"/>
        <v>44820</v>
      </c>
      <c r="S123" s="13">
        <f t="shared" si="9"/>
        <v>-388.61723446872094</v>
      </c>
      <c r="T123" s="2">
        <v>45328.125</v>
      </c>
      <c r="U123" t="s">
        <v>28</v>
      </c>
      <c r="V123" t="s">
        <v>29</v>
      </c>
      <c r="W123" t="s">
        <v>47</v>
      </c>
      <c r="X123">
        <v>4</v>
      </c>
      <c r="Y123">
        <v>12</v>
      </c>
      <c r="Z123" t="s">
        <v>31</v>
      </c>
    </row>
    <row r="124" spans="1:26">
      <c r="A124" t="s">
        <v>181</v>
      </c>
      <c r="B124">
        <v>23</v>
      </c>
      <c r="C124" t="str">
        <f t="shared" si="5"/>
        <v>18-35</v>
      </c>
      <c r="D124" t="s">
        <v>33</v>
      </c>
      <c r="E124" s="2">
        <v>45130</v>
      </c>
      <c r="F124" s="2" t="str">
        <f t="shared" ca="1" si="6"/>
        <v>No</v>
      </c>
      <c r="G124" s="2" t="str">
        <f t="shared" si="7"/>
        <v>Jul-2023</v>
      </c>
      <c r="H124" s="2">
        <v>45138</v>
      </c>
      <c r="I124">
        <v>8</v>
      </c>
      <c r="J124" t="s">
        <v>63</v>
      </c>
      <c r="K124">
        <v>4</v>
      </c>
      <c r="L124" t="s">
        <v>24</v>
      </c>
      <c r="M124" s="9">
        <v>30958</v>
      </c>
      <c r="N124" t="s">
        <v>67</v>
      </c>
      <c r="O124" t="s">
        <v>54</v>
      </c>
      <c r="P124" t="s">
        <v>41</v>
      </c>
      <c r="Q124" s="2">
        <v>45130</v>
      </c>
      <c r="R124" s="13">
        <f t="shared" si="8"/>
        <v>1200.0000000034925</v>
      </c>
      <c r="S124" s="13">
        <f t="shared" si="9"/>
        <v>-476.03206412803257</v>
      </c>
      <c r="T124" s="2">
        <v>45130.833333333336</v>
      </c>
      <c r="U124" t="s">
        <v>42</v>
      </c>
      <c r="V124" t="s">
        <v>29</v>
      </c>
      <c r="W124" t="s">
        <v>30</v>
      </c>
      <c r="X124">
        <v>9</v>
      </c>
      <c r="Y124">
        <v>8</v>
      </c>
      <c r="Z124" t="s">
        <v>48</v>
      </c>
    </row>
    <row r="125" spans="1:26">
      <c r="A125" t="s">
        <v>182</v>
      </c>
      <c r="B125">
        <v>62</v>
      </c>
      <c r="C125" t="str">
        <f t="shared" si="5"/>
        <v>51-65</v>
      </c>
      <c r="D125" t="s">
        <v>41</v>
      </c>
      <c r="E125" s="2">
        <v>45083</v>
      </c>
      <c r="F125" s="2" t="str">
        <f t="shared" ca="1" si="6"/>
        <v>No</v>
      </c>
      <c r="G125" s="2" t="str">
        <f t="shared" si="7"/>
        <v>Jun-2023</v>
      </c>
      <c r="H125" s="2">
        <v>45091</v>
      </c>
      <c r="I125">
        <v>8</v>
      </c>
      <c r="J125" t="s">
        <v>63</v>
      </c>
      <c r="K125">
        <v>2</v>
      </c>
      <c r="L125" t="s">
        <v>66</v>
      </c>
      <c r="M125" s="9">
        <v>42008</v>
      </c>
      <c r="N125" t="s">
        <v>25</v>
      </c>
      <c r="O125" t="s">
        <v>54</v>
      </c>
      <c r="P125" t="s">
        <v>27</v>
      </c>
      <c r="Q125" s="2">
        <v>45022</v>
      </c>
      <c r="R125" s="13">
        <f t="shared" si="8"/>
        <v>43619.999999996508</v>
      </c>
      <c r="S125" s="13">
        <f t="shared" si="9"/>
        <v>-477.3547094186207</v>
      </c>
      <c r="T125" s="2">
        <v>45052.291666666664</v>
      </c>
      <c r="U125" t="s">
        <v>42</v>
      </c>
      <c r="V125" t="s">
        <v>29</v>
      </c>
      <c r="W125" t="s">
        <v>30</v>
      </c>
      <c r="X125">
        <v>10</v>
      </c>
      <c r="Y125">
        <v>8</v>
      </c>
      <c r="Z125" t="s">
        <v>48</v>
      </c>
    </row>
    <row r="126" spans="1:26">
      <c r="A126" t="s">
        <v>183</v>
      </c>
      <c r="B126">
        <v>88</v>
      </c>
      <c r="C126" t="str">
        <f t="shared" si="5"/>
        <v>66+</v>
      </c>
      <c r="D126" t="s">
        <v>41</v>
      </c>
      <c r="E126" s="2">
        <v>45309</v>
      </c>
      <c r="F126" s="2" t="str">
        <f t="shared" ca="1" si="6"/>
        <v>No</v>
      </c>
      <c r="G126" s="2" t="str">
        <f t="shared" si="7"/>
        <v>Jan-2024</v>
      </c>
      <c r="H126" s="2">
        <v>45322</v>
      </c>
      <c r="I126">
        <v>13</v>
      </c>
      <c r="J126" t="s">
        <v>63</v>
      </c>
      <c r="K126">
        <v>2</v>
      </c>
      <c r="L126" t="s">
        <v>71</v>
      </c>
      <c r="M126" s="9">
        <v>23706</v>
      </c>
      <c r="N126" t="s">
        <v>25</v>
      </c>
      <c r="O126" t="s">
        <v>26</v>
      </c>
      <c r="P126" t="s">
        <v>27</v>
      </c>
      <c r="Q126" s="2">
        <v>45308</v>
      </c>
      <c r="R126" s="13">
        <f t="shared" si="8"/>
        <v>300.00000000349246</v>
      </c>
      <c r="S126" s="13">
        <f t="shared" si="9"/>
        <v>-561.76352705389127</v>
      </c>
      <c r="T126" s="2">
        <v>45308.208333333336</v>
      </c>
      <c r="U126" t="s">
        <v>37</v>
      </c>
      <c r="V126" t="s">
        <v>29</v>
      </c>
      <c r="W126" t="s">
        <v>43</v>
      </c>
      <c r="X126">
        <v>6</v>
      </c>
      <c r="Y126">
        <v>10</v>
      </c>
      <c r="Z126" t="s">
        <v>68</v>
      </c>
    </row>
    <row r="127" spans="1:26">
      <c r="A127" t="s">
        <v>184</v>
      </c>
      <c r="B127">
        <v>37</v>
      </c>
      <c r="C127" t="str">
        <f t="shared" si="5"/>
        <v>36-50</v>
      </c>
      <c r="D127" t="s">
        <v>45</v>
      </c>
      <c r="E127" s="2">
        <v>45092</v>
      </c>
      <c r="F127" s="2" t="str">
        <f t="shared" ca="1" si="6"/>
        <v>No</v>
      </c>
      <c r="G127" s="2" t="str">
        <f t="shared" si="7"/>
        <v>Jun-2023</v>
      </c>
      <c r="H127" s="2">
        <v>45098</v>
      </c>
      <c r="I127">
        <v>6</v>
      </c>
      <c r="J127" t="s">
        <v>23</v>
      </c>
      <c r="K127">
        <v>4</v>
      </c>
      <c r="L127" t="s">
        <v>71</v>
      </c>
      <c r="M127" s="9">
        <v>48516</v>
      </c>
      <c r="N127" t="s">
        <v>60</v>
      </c>
      <c r="O127" t="s">
        <v>26</v>
      </c>
      <c r="P127" t="s">
        <v>27</v>
      </c>
      <c r="Q127" s="2">
        <v>45205</v>
      </c>
      <c r="R127" s="13">
        <f t="shared" si="8"/>
        <v>44640</v>
      </c>
      <c r="S127" s="13">
        <f t="shared" si="9"/>
        <v>-561.28256513005056</v>
      </c>
      <c r="T127" s="2">
        <v>45236</v>
      </c>
      <c r="U127" t="s">
        <v>37</v>
      </c>
      <c r="V127" t="s">
        <v>29</v>
      </c>
      <c r="W127" t="s">
        <v>30</v>
      </c>
      <c r="X127">
        <v>7</v>
      </c>
      <c r="Y127">
        <v>12</v>
      </c>
      <c r="Z127" t="s">
        <v>68</v>
      </c>
    </row>
    <row r="128" spans="1:26">
      <c r="A128" t="s">
        <v>185</v>
      </c>
      <c r="B128">
        <v>44</v>
      </c>
      <c r="C128" t="str">
        <f t="shared" si="5"/>
        <v>36-50</v>
      </c>
      <c r="D128" t="s">
        <v>41</v>
      </c>
      <c r="E128" s="2">
        <v>44927</v>
      </c>
      <c r="F128" s="2" t="str">
        <f t="shared" ca="1" si="6"/>
        <v>No</v>
      </c>
      <c r="G128" s="2" t="str">
        <f t="shared" si="7"/>
        <v>Jan-2023</v>
      </c>
      <c r="H128" s="2">
        <v>45200</v>
      </c>
      <c r="I128">
        <v>9</v>
      </c>
      <c r="J128" t="s">
        <v>34</v>
      </c>
      <c r="K128">
        <v>4</v>
      </c>
      <c r="L128" t="s">
        <v>24</v>
      </c>
      <c r="M128" s="9">
        <v>43066</v>
      </c>
      <c r="N128" t="s">
        <v>53</v>
      </c>
      <c r="O128" t="s">
        <v>54</v>
      </c>
      <c r="P128" t="s">
        <v>27</v>
      </c>
      <c r="Q128" s="2">
        <v>44923</v>
      </c>
      <c r="R128" s="13">
        <f t="shared" si="8"/>
        <v>1020.0000000034925</v>
      </c>
      <c r="S128" s="13">
        <f t="shared" si="9"/>
        <v>-645.69138276532112</v>
      </c>
      <c r="T128" s="2">
        <v>44923.708333333336</v>
      </c>
      <c r="U128" t="s">
        <v>64</v>
      </c>
      <c r="V128" t="s">
        <v>29</v>
      </c>
      <c r="W128" t="s">
        <v>47</v>
      </c>
      <c r="X128">
        <v>10</v>
      </c>
      <c r="Y128">
        <v>8</v>
      </c>
      <c r="Z128" t="s">
        <v>48</v>
      </c>
    </row>
    <row r="129" spans="1:26">
      <c r="A129" t="s">
        <v>186</v>
      </c>
      <c r="B129">
        <v>86</v>
      </c>
      <c r="C129" t="str">
        <f t="shared" si="5"/>
        <v>66+</v>
      </c>
      <c r="D129" t="s">
        <v>62</v>
      </c>
      <c r="E129" s="2">
        <v>45258</v>
      </c>
      <c r="F129" s="2" t="str">
        <f t="shared" ca="1" si="6"/>
        <v>No</v>
      </c>
      <c r="G129" s="2" t="str">
        <f t="shared" si="7"/>
        <v>Nov-2023</v>
      </c>
      <c r="H129" s="2">
        <v>45150</v>
      </c>
      <c r="I129">
        <v>10</v>
      </c>
      <c r="J129" t="s">
        <v>63</v>
      </c>
      <c r="K129">
        <v>2</v>
      </c>
      <c r="L129" t="s">
        <v>46</v>
      </c>
      <c r="M129" s="9">
        <v>36472</v>
      </c>
      <c r="N129" t="s">
        <v>25</v>
      </c>
      <c r="O129" t="s">
        <v>54</v>
      </c>
      <c r="P129" t="s">
        <v>27</v>
      </c>
      <c r="Q129" s="2">
        <v>45256</v>
      </c>
      <c r="R129" s="13">
        <f t="shared" si="8"/>
        <v>959.99999999650754</v>
      </c>
      <c r="S129" s="13">
        <f t="shared" si="9"/>
        <v>-555.87174348676399</v>
      </c>
      <c r="T129" s="2">
        <v>45256.666666666664</v>
      </c>
      <c r="U129" t="s">
        <v>64</v>
      </c>
      <c r="V129" t="s">
        <v>38</v>
      </c>
      <c r="W129" t="s">
        <v>30</v>
      </c>
      <c r="X129">
        <v>4</v>
      </c>
      <c r="Y129">
        <v>12</v>
      </c>
      <c r="Z129" t="s">
        <v>31</v>
      </c>
    </row>
    <row r="130" spans="1:26">
      <c r="A130" t="s">
        <v>187</v>
      </c>
      <c r="B130">
        <v>35</v>
      </c>
      <c r="C130" t="str">
        <f t="shared" si="5"/>
        <v>18-35</v>
      </c>
      <c r="D130" t="s">
        <v>41</v>
      </c>
      <c r="E130" s="2">
        <v>45427</v>
      </c>
      <c r="F130" s="2" t="str">
        <f t="shared" ca="1" si="6"/>
        <v>No</v>
      </c>
      <c r="G130" s="2" t="str">
        <f t="shared" si="7"/>
        <v>May-2024</v>
      </c>
      <c r="H130" s="2">
        <v>45429</v>
      </c>
      <c r="I130">
        <v>2</v>
      </c>
      <c r="J130" t="s">
        <v>50</v>
      </c>
      <c r="K130">
        <v>2</v>
      </c>
      <c r="L130" t="s">
        <v>71</v>
      </c>
      <c r="M130" s="9">
        <v>39629</v>
      </c>
      <c r="N130" t="s">
        <v>36</v>
      </c>
      <c r="O130" t="s">
        <v>54</v>
      </c>
      <c r="P130" t="s">
        <v>27</v>
      </c>
      <c r="Q130" s="2">
        <v>45426</v>
      </c>
      <c r="R130" s="13">
        <f t="shared" si="8"/>
        <v>2820.0000000034925</v>
      </c>
      <c r="S130" s="13">
        <f t="shared" si="9"/>
        <v>-556.59318637253557</v>
      </c>
      <c r="T130" s="2">
        <v>45427.958333333336</v>
      </c>
      <c r="U130" t="s">
        <v>28</v>
      </c>
      <c r="V130" t="s">
        <v>29</v>
      </c>
      <c r="W130" t="s">
        <v>43</v>
      </c>
      <c r="X130">
        <v>10</v>
      </c>
      <c r="Y130">
        <v>8</v>
      </c>
      <c r="Z130" t="s">
        <v>31</v>
      </c>
    </row>
    <row r="131" spans="1:26">
      <c r="A131" t="s">
        <v>188</v>
      </c>
      <c r="B131">
        <v>65</v>
      </c>
      <c r="C131" t="str">
        <f t="shared" ref="C131:C194" si="10">IF(B131&lt;18,"0-17",IF(B131&lt;=35,"18-35",IF(B131&lt;=50,"36-50",IF(B131&lt;=65,"51-65","66+"))))</f>
        <v>51-65</v>
      </c>
      <c r="D131" t="s">
        <v>22</v>
      </c>
      <c r="E131" s="2">
        <v>44946</v>
      </c>
      <c r="F131" s="2" t="str">
        <f t="shared" ref="F131:F194" ca="1" si="11">IF(E131&gt;=EDATE(TODAY(),-12),"Yes","No")</f>
        <v>No</v>
      </c>
      <c r="G131" s="2" t="str">
        <f t="shared" ref="G131:G194" si="12">TEXT(E131,"mmm-yyyy")</f>
        <v>Jan-2023</v>
      </c>
      <c r="H131" s="2">
        <v>44954</v>
      </c>
      <c r="I131">
        <v>8</v>
      </c>
      <c r="J131" t="s">
        <v>57</v>
      </c>
      <c r="K131">
        <v>2</v>
      </c>
      <c r="L131" t="s">
        <v>24</v>
      </c>
      <c r="M131" s="9">
        <v>28004</v>
      </c>
      <c r="N131" t="s">
        <v>36</v>
      </c>
      <c r="O131" t="s">
        <v>54</v>
      </c>
      <c r="P131" t="s">
        <v>27</v>
      </c>
      <c r="Q131" s="2">
        <v>44941</v>
      </c>
      <c r="R131" s="13">
        <f t="shared" ref="R131:R194" si="13">(T131-Q131)*1440</f>
        <v>2460.0000000034925</v>
      </c>
      <c r="S131" s="13">
        <f t="shared" ref="S131:S194" si="14">AVERAGE(R131:R629)</f>
        <v>-561.64328657293629</v>
      </c>
      <c r="T131" s="2">
        <v>44942.708333333336</v>
      </c>
      <c r="U131" t="s">
        <v>42</v>
      </c>
      <c r="V131" t="s">
        <v>29</v>
      </c>
      <c r="W131" t="s">
        <v>47</v>
      </c>
      <c r="X131">
        <v>6</v>
      </c>
      <c r="Y131">
        <v>10</v>
      </c>
      <c r="Z131" t="s">
        <v>31</v>
      </c>
    </row>
    <row r="132" spans="1:26">
      <c r="A132" t="s">
        <v>189</v>
      </c>
      <c r="B132">
        <v>47</v>
      </c>
      <c r="C132" t="str">
        <f t="shared" si="10"/>
        <v>36-50</v>
      </c>
      <c r="D132" t="s">
        <v>22</v>
      </c>
      <c r="E132" s="2">
        <v>45041</v>
      </c>
      <c r="F132" s="2" t="str">
        <f t="shared" ca="1" si="11"/>
        <v>No</v>
      </c>
      <c r="G132" s="2" t="str">
        <f t="shared" si="12"/>
        <v>Apr-2023</v>
      </c>
      <c r="H132" s="2">
        <v>45021</v>
      </c>
      <c r="I132">
        <v>9</v>
      </c>
      <c r="J132" t="s">
        <v>57</v>
      </c>
      <c r="K132">
        <v>4</v>
      </c>
      <c r="L132" t="s">
        <v>35</v>
      </c>
      <c r="M132" s="9">
        <v>25431</v>
      </c>
      <c r="N132" t="s">
        <v>60</v>
      </c>
      <c r="O132" t="s">
        <v>26</v>
      </c>
      <c r="P132" t="s">
        <v>27</v>
      </c>
      <c r="Q132" s="2">
        <v>45039</v>
      </c>
      <c r="R132" s="13">
        <f t="shared" si="13"/>
        <v>1920.0000000034925</v>
      </c>
      <c r="S132" s="13">
        <f t="shared" si="14"/>
        <v>-562.48496993968377</v>
      </c>
      <c r="T132" s="2">
        <v>45040.333333333336</v>
      </c>
      <c r="U132" t="s">
        <v>28</v>
      </c>
      <c r="V132" t="s">
        <v>29</v>
      </c>
      <c r="W132" t="s">
        <v>30</v>
      </c>
      <c r="X132">
        <v>8</v>
      </c>
      <c r="Y132">
        <v>12</v>
      </c>
      <c r="Z132" t="s">
        <v>68</v>
      </c>
    </row>
    <row r="133" spans="1:26">
      <c r="A133" t="s">
        <v>190</v>
      </c>
      <c r="B133">
        <v>78</v>
      </c>
      <c r="C133" t="str">
        <f t="shared" si="10"/>
        <v>66+</v>
      </c>
      <c r="D133" t="s">
        <v>33</v>
      </c>
      <c r="E133" s="2">
        <v>45474</v>
      </c>
      <c r="F133" s="2" t="str">
        <f t="shared" ca="1" si="11"/>
        <v>No</v>
      </c>
      <c r="G133" s="2" t="str">
        <f t="shared" si="12"/>
        <v>Jul-2024</v>
      </c>
      <c r="H133" s="2">
        <v>45597</v>
      </c>
      <c r="I133">
        <v>4</v>
      </c>
      <c r="J133" t="s">
        <v>40</v>
      </c>
      <c r="K133">
        <v>2</v>
      </c>
      <c r="L133" t="s">
        <v>46</v>
      </c>
      <c r="M133" s="9">
        <v>45088</v>
      </c>
      <c r="N133" t="s">
        <v>53</v>
      </c>
      <c r="O133" t="s">
        <v>26</v>
      </c>
      <c r="P133" t="s">
        <v>41</v>
      </c>
      <c r="Q133" s="2">
        <v>45352</v>
      </c>
      <c r="R133" s="13">
        <f t="shared" si="13"/>
        <v>45540</v>
      </c>
      <c r="S133" s="13">
        <f t="shared" si="14"/>
        <v>-475.310621242303</v>
      </c>
      <c r="T133" s="2">
        <v>45383.625</v>
      </c>
      <c r="U133" t="s">
        <v>28</v>
      </c>
      <c r="V133" t="s">
        <v>38</v>
      </c>
      <c r="W133" t="s">
        <v>30</v>
      </c>
      <c r="X133">
        <v>5</v>
      </c>
      <c r="Y133">
        <v>8</v>
      </c>
      <c r="Z133" t="s">
        <v>31</v>
      </c>
    </row>
    <row r="134" spans="1:26">
      <c r="A134" t="s">
        <v>191</v>
      </c>
      <c r="B134">
        <v>3</v>
      </c>
      <c r="C134" t="str">
        <f t="shared" si="10"/>
        <v>0-17</v>
      </c>
      <c r="D134" t="s">
        <v>52</v>
      </c>
      <c r="E134" s="2">
        <v>45241</v>
      </c>
      <c r="F134" s="2" t="str">
        <f t="shared" ca="1" si="11"/>
        <v>No</v>
      </c>
      <c r="G134" s="2" t="str">
        <f t="shared" si="12"/>
        <v>Nov-2023</v>
      </c>
      <c r="H134" s="2">
        <v>45251</v>
      </c>
      <c r="I134">
        <v>10</v>
      </c>
      <c r="J134" t="s">
        <v>40</v>
      </c>
      <c r="K134">
        <v>1</v>
      </c>
      <c r="L134" t="s">
        <v>66</v>
      </c>
      <c r="M134" s="9">
        <v>49135</v>
      </c>
      <c r="N134" t="s">
        <v>53</v>
      </c>
      <c r="O134" t="s">
        <v>54</v>
      </c>
      <c r="P134" t="s">
        <v>27</v>
      </c>
      <c r="Q134" s="2">
        <v>45118</v>
      </c>
      <c r="R134" s="13">
        <f t="shared" si="13"/>
        <v>45599.999999996508</v>
      </c>
      <c r="S134" s="13">
        <f t="shared" si="14"/>
        <v>-566.45290581144832</v>
      </c>
      <c r="T134" s="2">
        <v>45149.666666666664</v>
      </c>
      <c r="U134" t="s">
        <v>37</v>
      </c>
      <c r="V134" t="s">
        <v>29</v>
      </c>
      <c r="W134" t="s">
        <v>43</v>
      </c>
      <c r="X134">
        <v>7</v>
      </c>
      <c r="Y134">
        <v>12</v>
      </c>
      <c r="Z134" t="s">
        <v>31</v>
      </c>
    </row>
    <row r="135" spans="1:26">
      <c r="A135" t="s">
        <v>192</v>
      </c>
      <c r="B135">
        <v>1</v>
      </c>
      <c r="C135" t="str">
        <f t="shared" si="10"/>
        <v>0-17</v>
      </c>
      <c r="D135" t="s">
        <v>62</v>
      </c>
      <c r="E135" s="2">
        <v>44994</v>
      </c>
      <c r="F135" s="2" t="str">
        <f t="shared" ca="1" si="11"/>
        <v>No</v>
      </c>
      <c r="G135" s="2" t="str">
        <f t="shared" si="12"/>
        <v>Mar-2023</v>
      </c>
      <c r="H135" s="2">
        <v>45025</v>
      </c>
      <c r="I135">
        <v>1</v>
      </c>
      <c r="J135" t="s">
        <v>23</v>
      </c>
      <c r="K135">
        <v>4</v>
      </c>
      <c r="L135" t="s">
        <v>71</v>
      </c>
      <c r="M135" s="9">
        <v>43015</v>
      </c>
      <c r="N135" t="s">
        <v>36</v>
      </c>
      <c r="O135" t="s">
        <v>26</v>
      </c>
      <c r="P135" t="s">
        <v>41</v>
      </c>
      <c r="Q135" s="2">
        <v>44994</v>
      </c>
      <c r="R135" s="13">
        <f t="shared" si="13"/>
        <v>779.99999999650754</v>
      </c>
      <c r="S135" s="13">
        <f t="shared" si="14"/>
        <v>-569.33867735453441</v>
      </c>
      <c r="T135" s="2">
        <v>44994.541666666664</v>
      </c>
      <c r="U135" t="s">
        <v>28</v>
      </c>
      <c r="V135" t="s">
        <v>29</v>
      </c>
      <c r="W135" t="s">
        <v>47</v>
      </c>
      <c r="X135">
        <v>7</v>
      </c>
      <c r="Y135">
        <v>8</v>
      </c>
      <c r="Z135" t="s">
        <v>48</v>
      </c>
    </row>
    <row r="136" spans="1:26">
      <c r="A136" t="s">
        <v>193</v>
      </c>
      <c r="B136">
        <v>5</v>
      </c>
      <c r="C136" t="str">
        <f t="shared" si="10"/>
        <v>0-17</v>
      </c>
      <c r="D136" t="s">
        <v>33</v>
      </c>
      <c r="E136" s="2">
        <v>44929</v>
      </c>
      <c r="F136" s="2" t="str">
        <f t="shared" ca="1" si="11"/>
        <v>No</v>
      </c>
      <c r="G136" s="2" t="str">
        <f t="shared" si="12"/>
        <v>Jan-2023</v>
      </c>
      <c r="H136" s="2">
        <v>44998</v>
      </c>
      <c r="I136">
        <v>12</v>
      </c>
      <c r="J136" t="s">
        <v>23</v>
      </c>
      <c r="K136">
        <v>1</v>
      </c>
      <c r="L136" t="s">
        <v>24</v>
      </c>
      <c r="M136" s="9">
        <v>39502</v>
      </c>
      <c r="N136" t="s">
        <v>67</v>
      </c>
      <c r="O136" t="s">
        <v>54</v>
      </c>
      <c r="P136" t="s">
        <v>27</v>
      </c>
      <c r="Q136" s="2">
        <v>44982</v>
      </c>
      <c r="R136" s="13">
        <f t="shared" si="13"/>
        <v>1800</v>
      </c>
      <c r="S136" s="13">
        <f t="shared" si="14"/>
        <v>-565.8517034066316</v>
      </c>
      <c r="T136" s="2">
        <v>44983.25</v>
      </c>
      <c r="U136" t="s">
        <v>28</v>
      </c>
      <c r="V136" t="s">
        <v>29</v>
      </c>
      <c r="W136" t="s">
        <v>43</v>
      </c>
      <c r="X136">
        <v>9</v>
      </c>
      <c r="Y136">
        <v>8</v>
      </c>
      <c r="Z136" t="s">
        <v>31</v>
      </c>
    </row>
    <row r="137" spans="1:26">
      <c r="A137" t="s">
        <v>194</v>
      </c>
      <c r="B137">
        <v>14</v>
      </c>
      <c r="C137" t="str">
        <f t="shared" si="10"/>
        <v>0-17</v>
      </c>
      <c r="D137" t="s">
        <v>62</v>
      </c>
      <c r="E137" s="2">
        <v>45025</v>
      </c>
      <c r="F137" s="2" t="str">
        <f t="shared" ca="1" si="11"/>
        <v>No</v>
      </c>
      <c r="G137" s="2" t="str">
        <f t="shared" si="12"/>
        <v>Apr-2023</v>
      </c>
      <c r="H137" s="2">
        <v>45186</v>
      </c>
      <c r="I137">
        <v>13</v>
      </c>
      <c r="J137" t="s">
        <v>57</v>
      </c>
      <c r="K137">
        <v>3</v>
      </c>
      <c r="L137" t="s">
        <v>35</v>
      </c>
      <c r="M137" s="9">
        <v>36385</v>
      </c>
      <c r="N137" t="s">
        <v>60</v>
      </c>
      <c r="O137" t="s">
        <v>26</v>
      </c>
      <c r="P137" t="s">
        <v>27</v>
      </c>
      <c r="Q137" s="2">
        <v>45168</v>
      </c>
      <c r="R137" s="13">
        <f t="shared" si="13"/>
        <v>419.99999999650754</v>
      </c>
      <c r="S137" s="13">
        <f t="shared" si="14"/>
        <v>-568.1362725449012</v>
      </c>
      <c r="T137" s="2">
        <v>45168.291666666664</v>
      </c>
      <c r="U137" t="s">
        <v>55</v>
      </c>
      <c r="V137" t="s">
        <v>29</v>
      </c>
      <c r="W137" t="s">
        <v>47</v>
      </c>
      <c r="X137">
        <v>8</v>
      </c>
      <c r="Y137">
        <v>8</v>
      </c>
      <c r="Z137" t="s">
        <v>48</v>
      </c>
    </row>
    <row r="138" spans="1:26">
      <c r="A138" t="s">
        <v>195</v>
      </c>
      <c r="B138">
        <v>27</v>
      </c>
      <c r="C138" t="str">
        <f t="shared" si="10"/>
        <v>18-35</v>
      </c>
      <c r="D138" t="s">
        <v>52</v>
      </c>
      <c r="E138" s="2">
        <v>45007</v>
      </c>
      <c r="F138" s="2" t="str">
        <f t="shared" ca="1" si="11"/>
        <v>No</v>
      </c>
      <c r="G138" s="2" t="str">
        <f t="shared" si="12"/>
        <v>Mar-2023</v>
      </c>
      <c r="H138" s="2">
        <v>45081</v>
      </c>
      <c r="I138">
        <v>15</v>
      </c>
      <c r="J138" t="s">
        <v>50</v>
      </c>
      <c r="K138">
        <v>4</v>
      </c>
      <c r="L138" t="s">
        <v>66</v>
      </c>
      <c r="M138" s="9">
        <v>9663</v>
      </c>
      <c r="N138" t="s">
        <v>60</v>
      </c>
      <c r="O138" t="s">
        <v>54</v>
      </c>
      <c r="P138" t="s">
        <v>27</v>
      </c>
      <c r="Q138" s="2">
        <v>45006</v>
      </c>
      <c r="R138" s="13">
        <f t="shared" si="13"/>
        <v>540</v>
      </c>
      <c r="S138" s="13">
        <f t="shared" si="14"/>
        <v>-481.80360721422591</v>
      </c>
      <c r="T138" s="2">
        <v>45006.375</v>
      </c>
      <c r="U138" t="s">
        <v>64</v>
      </c>
      <c r="V138" t="s">
        <v>29</v>
      </c>
      <c r="W138" t="s">
        <v>47</v>
      </c>
      <c r="X138">
        <v>7</v>
      </c>
      <c r="Y138">
        <v>12</v>
      </c>
      <c r="Z138" t="s">
        <v>31</v>
      </c>
    </row>
    <row r="139" spans="1:26">
      <c r="A139" t="s">
        <v>196</v>
      </c>
      <c r="B139">
        <v>9</v>
      </c>
      <c r="C139" t="str">
        <f t="shared" si="10"/>
        <v>0-17</v>
      </c>
      <c r="D139" t="s">
        <v>41</v>
      </c>
      <c r="E139" s="2">
        <v>45014</v>
      </c>
      <c r="F139" s="2" t="str">
        <f t="shared" ca="1" si="11"/>
        <v>No</v>
      </c>
      <c r="G139" s="2" t="str">
        <f t="shared" si="12"/>
        <v>Mar-2023</v>
      </c>
      <c r="H139" s="2">
        <v>45264</v>
      </c>
      <c r="I139">
        <v>14</v>
      </c>
      <c r="J139" t="s">
        <v>34</v>
      </c>
      <c r="K139">
        <v>3</v>
      </c>
      <c r="L139" t="s">
        <v>24</v>
      </c>
      <c r="M139" s="9">
        <v>43677</v>
      </c>
      <c r="N139" t="s">
        <v>36</v>
      </c>
      <c r="O139" t="s">
        <v>26</v>
      </c>
      <c r="P139" t="s">
        <v>27</v>
      </c>
      <c r="Q139" s="2">
        <v>45010</v>
      </c>
      <c r="R139" s="13">
        <f t="shared" si="13"/>
        <v>1200.0000000034925</v>
      </c>
      <c r="S139" s="13">
        <f t="shared" si="14"/>
        <v>-480.12024048075193</v>
      </c>
      <c r="T139" s="2">
        <v>45010.833333333336</v>
      </c>
      <c r="U139" t="s">
        <v>64</v>
      </c>
      <c r="V139" t="s">
        <v>29</v>
      </c>
      <c r="W139" t="s">
        <v>30</v>
      </c>
      <c r="X139">
        <v>9</v>
      </c>
      <c r="Y139">
        <v>8</v>
      </c>
      <c r="Z139" t="s">
        <v>68</v>
      </c>
    </row>
    <row r="140" spans="1:26">
      <c r="A140" t="s">
        <v>197</v>
      </c>
      <c r="B140">
        <v>79</v>
      </c>
      <c r="C140" t="str">
        <f t="shared" si="10"/>
        <v>66+</v>
      </c>
      <c r="D140" t="s">
        <v>41</v>
      </c>
      <c r="E140" s="2">
        <v>45631</v>
      </c>
      <c r="F140" s="2" t="str">
        <f t="shared" ca="1" si="11"/>
        <v>No</v>
      </c>
      <c r="G140" s="2" t="str">
        <f t="shared" si="12"/>
        <v>Dec-2024</v>
      </c>
      <c r="H140" s="2">
        <v>45435</v>
      </c>
      <c r="I140">
        <v>11</v>
      </c>
      <c r="J140" t="s">
        <v>34</v>
      </c>
      <c r="K140">
        <v>2</v>
      </c>
      <c r="L140" t="s">
        <v>24</v>
      </c>
      <c r="M140" s="9">
        <v>17818</v>
      </c>
      <c r="N140" t="s">
        <v>36</v>
      </c>
      <c r="O140" t="s">
        <v>54</v>
      </c>
      <c r="P140" t="s">
        <v>27</v>
      </c>
      <c r="Q140" s="2">
        <v>45509</v>
      </c>
      <c r="R140" s="13">
        <f t="shared" si="13"/>
        <v>59.99999999650754</v>
      </c>
      <c r="S140" s="13">
        <f t="shared" si="14"/>
        <v>-476.87374749477999</v>
      </c>
      <c r="T140" s="2">
        <v>45509.041666666664</v>
      </c>
      <c r="U140" t="s">
        <v>42</v>
      </c>
      <c r="V140" t="s">
        <v>29</v>
      </c>
      <c r="W140" t="s">
        <v>43</v>
      </c>
      <c r="X140">
        <v>9</v>
      </c>
      <c r="Y140">
        <v>10</v>
      </c>
      <c r="Z140" t="s">
        <v>31</v>
      </c>
    </row>
    <row r="141" spans="1:26">
      <c r="A141" t="s">
        <v>198</v>
      </c>
      <c r="B141">
        <v>15</v>
      </c>
      <c r="C141" t="str">
        <f t="shared" si="10"/>
        <v>0-17</v>
      </c>
      <c r="D141" t="s">
        <v>52</v>
      </c>
      <c r="E141" s="2">
        <v>45263</v>
      </c>
      <c r="F141" s="2" t="str">
        <f t="shared" ca="1" si="11"/>
        <v>No</v>
      </c>
      <c r="G141" s="2" t="str">
        <f t="shared" si="12"/>
        <v>Dec-2023</v>
      </c>
      <c r="H141" s="2">
        <v>45006</v>
      </c>
      <c r="I141">
        <v>9</v>
      </c>
      <c r="J141" t="s">
        <v>23</v>
      </c>
      <c r="K141">
        <v>2</v>
      </c>
      <c r="L141" t="s">
        <v>66</v>
      </c>
      <c r="M141" s="9">
        <v>27686</v>
      </c>
      <c r="N141" t="s">
        <v>67</v>
      </c>
      <c r="O141" t="s">
        <v>54</v>
      </c>
      <c r="P141" t="s">
        <v>41</v>
      </c>
      <c r="Q141" s="2">
        <v>45233</v>
      </c>
      <c r="R141" s="13">
        <f t="shared" si="13"/>
        <v>43320.000000003492</v>
      </c>
      <c r="S141" s="13">
        <f t="shared" si="14"/>
        <v>-475.31062124226099</v>
      </c>
      <c r="T141" s="2">
        <v>45263.083333333336</v>
      </c>
      <c r="U141" t="s">
        <v>64</v>
      </c>
      <c r="V141" t="s">
        <v>29</v>
      </c>
      <c r="W141" t="s">
        <v>43</v>
      </c>
      <c r="X141">
        <v>9</v>
      </c>
      <c r="Y141">
        <v>12</v>
      </c>
      <c r="Z141" t="s">
        <v>31</v>
      </c>
    </row>
    <row r="142" spans="1:26">
      <c r="A142" t="s">
        <v>199</v>
      </c>
      <c r="B142">
        <v>42</v>
      </c>
      <c r="C142" t="str">
        <f t="shared" si="10"/>
        <v>36-50</v>
      </c>
      <c r="D142" t="s">
        <v>33</v>
      </c>
      <c r="E142" s="2">
        <v>45174</v>
      </c>
      <c r="F142" s="2" t="str">
        <f t="shared" ca="1" si="11"/>
        <v>No</v>
      </c>
      <c r="G142" s="2" t="str">
        <f t="shared" si="12"/>
        <v>Sep-2023</v>
      </c>
      <c r="H142" s="2">
        <v>45060</v>
      </c>
      <c r="I142">
        <v>5</v>
      </c>
      <c r="J142" t="s">
        <v>50</v>
      </c>
      <c r="K142">
        <v>5</v>
      </c>
      <c r="L142" t="s">
        <v>35</v>
      </c>
      <c r="M142" s="9">
        <v>28977</v>
      </c>
      <c r="N142" t="s">
        <v>67</v>
      </c>
      <c r="O142" t="s">
        <v>54</v>
      </c>
      <c r="P142" t="s">
        <v>27</v>
      </c>
      <c r="Q142" s="2">
        <v>45143</v>
      </c>
      <c r="R142" s="13">
        <f t="shared" si="13"/>
        <v>1319.9999999965075</v>
      </c>
      <c r="S142" s="13">
        <f t="shared" si="14"/>
        <v>-470.62124248474595</v>
      </c>
      <c r="T142" s="2">
        <v>45143.916666666664</v>
      </c>
      <c r="U142" t="s">
        <v>42</v>
      </c>
      <c r="V142" t="s">
        <v>29</v>
      </c>
      <c r="W142" t="s">
        <v>43</v>
      </c>
      <c r="X142">
        <v>11</v>
      </c>
      <c r="Y142">
        <v>10</v>
      </c>
      <c r="Z142" t="s">
        <v>48</v>
      </c>
    </row>
    <row r="143" spans="1:26">
      <c r="A143" t="s">
        <v>200</v>
      </c>
      <c r="B143">
        <v>77</v>
      </c>
      <c r="C143" t="str">
        <f t="shared" si="10"/>
        <v>66+</v>
      </c>
      <c r="D143" t="s">
        <v>52</v>
      </c>
      <c r="E143" s="2">
        <v>45265</v>
      </c>
      <c r="F143" s="2" t="str">
        <f t="shared" ca="1" si="11"/>
        <v>No</v>
      </c>
      <c r="G143" s="2" t="str">
        <f t="shared" si="12"/>
        <v>Dec-2023</v>
      </c>
      <c r="H143" s="2">
        <v>45066</v>
      </c>
      <c r="I143">
        <v>8</v>
      </c>
      <c r="J143" t="s">
        <v>23</v>
      </c>
      <c r="K143">
        <v>2</v>
      </c>
      <c r="L143" t="s">
        <v>35</v>
      </c>
      <c r="M143" s="9">
        <v>45931</v>
      </c>
      <c r="N143" t="s">
        <v>53</v>
      </c>
      <c r="O143" t="s">
        <v>54</v>
      </c>
      <c r="P143" t="s">
        <v>27</v>
      </c>
      <c r="Q143" s="2">
        <v>45112</v>
      </c>
      <c r="R143" s="13">
        <f t="shared" si="13"/>
        <v>45599.999999996508</v>
      </c>
      <c r="S143" s="13">
        <f t="shared" si="14"/>
        <v>-297.23446893764481</v>
      </c>
      <c r="T143" s="2">
        <v>45143.666666666664</v>
      </c>
      <c r="U143" t="s">
        <v>55</v>
      </c>
      <c r="V143" t="s">
        <v>29</v>
      </c>
      <c r="W143" t="s">
        <v>47</v>
      </c>
      <c r="X143">
        <v>7</v>
      </c>
      <c r="Y143">
        <v>10</v>
      </c>
      <c r="Z143" t="s">
        <v>48</v>
      </c>
    </row>
    <row r="144" spans="1:26">
      <c r="A144" t="s">
        <v>201</v>
      </c>
      <c r="B144">
        <v>51</v>
      </c>
      <c r="C144" t="str">
        <f t="shared" si="10"/>
        <v>51-65</v>
      </c>
      <c r="D144" t="s">
        <v>45</v>
      </c>
      <c r="E144" s="2">
        <v>45296</v>
      </c>
      <c r="F144" s="2" t="str">
        <f t="shared" ca="1" si="11"/>
        <v>No</v>
      </c>
      <c r="G144" s="2" t="str">
        <f t="shared" si="12"/>
        <v>Jan-2024</v>
      </c>
      <c r="H144" s="2">
        <v>45631</v>
      </c>
      <c r="I144">
        <v>11</v>
      </c>
      <c r="J144" t="s">
        <v>34</v>
      </c>
      <c r="K144">
        <v>3</v>
      </c>
      <c r="L144" t="s">
        <v>46</v>
      </c>
      <c r="M144" s="9">
        <v>23454</v>
      </c>
      <c r="N144" t="s">
        <v>60</v>
      </c>
      <c r="O144" t="s">
        <v>54</v>
      </c>
      <c r="P144" t="s">
        <v>41</v>
      </c>
      <c r="Q144" s="2">
        <v>45409</v>
      </c>
      <c r="R144" s="13">
        <f t="shared" si="13"/>
        <v>1499.9999999965075</v>
      </c>
      <c r="S144" s="13">
        <f t="shared" si="14"/>
        <v>-387.41482965908767</v>
      </c>
      <c r="T144" s="2">
        <v>45410.041666666664</v>
      </c>
      <c r="U144" t="s">
        <v>64</v>
      </c>
      <c r="V144" t="s">
        <v>29</v>
      </c>
      <c r="W144" t="s">
        <v>43</v>
      </c>
      <c r="X144">
        <v>7</v>
      </c>
      <c r="Y144">
        <v>12</v>
      </c>
      <c r="Z144" t="s">
        <v>48</v>
      </c>
    </row>
    <row r="145" spans="1:26">
      <c r="A145" t="s">
        <v>202</v>
      </c>
      <c r="B145">
        <v>63</v>
      </c>
      <c r="C145" t="str">
        <f t="shared" si="10"/>
        <v>51-65</v>
      </c>
      <c r="D145" t="s">
        <v>22</v>
      </c>
      <c r="E145" s="2">
        <v>45096</v>
      </c>
      <c r="F145" s="2" t="str">
        <f t="shared" ca="1" si="11"/>
        <v>No</v>
      </c>
      <c r="G145" s="2" t="str">
        <f t="shared" si="12"/>
        <v>Jun-2023</v>
      </c>
      <c r="H145" s="2">
        <v>45097</v>
      </c>
      <c r="I145">
        <v>1</v>
      </c>
      <c r="J145" t="s">
        <v>23</v>
      </c>
      <c r="K145">
        <v>2</v>
      </c>
      <c r="L145" t="s">
        <v>71</v>
      </c>
      <c r="M145" s="9">
        <v>18358</v>
      </c>
      <c r="N145" t="s">
        <v>60</v>
      </c>
      <c r="O145" t="s">
        <v>54</v>
      </c>
      <c r="P145" t="s">
        <v>41</v>
      </c>
      <c r="Q145" s="2">
        <v>45091</v>
      </c>
      <c r="R145" s="13">
        <f t="shared" si="13"/>
        <v>1319.9999999965075</v>
      </c>
      <c r="S145" s="13">
        <f t="shared" si="14"/>
        <v>-387.1743486971568</v>
      </c>
      <c r="T145" s="2">
        <v>45091.916666666664</v>
      </c>
      <c r="U145" t="s">
        <v>55</v>
      </c>
      <c r="V145" t="s">
        <v>29</v>
      </c>
      <c r="W145" t="s">
        <v>47</v>
      </c>
      <c r="X145">
        <v>7</v>
      </c>
      <c r="Y145">
        <v>8</v>
      </c>
      <c r="Z145" t="s">
        <v>31</v>
      </c>
    </row>
    <row r="146" spans="1:26">
      <c r="A146" t="s">
        <v>203</v>
      </c>
      <c r="B146">
        <v>52</v>
      </c>
      <c r="C146" t="str">
        <f t="shared" si="10"/>
        <v>51-65</v>
      </c>
      <c r="D146" t="s">
        <v>33</v>
      </c>
      <c r="E146" s="2">
        <v>45198</v>
      </c>
      <c r="F146" s="2" t="str">
        <f t="shared" ca="1" si="11"/>
        <v>No</v>
      </c>
      <c r="G146" s="2" t="str">
        <f t="shared" si="12"/>
        <v>Sep-2023</v>
      </c>
      <c r="H146" s="2">
        <v>45199</v>
      </c>
      <c r="I146">
        <v>1</v>
      </c>
      <c r="J146" t="s">
        <v>63</v>
      </c>
      <c r="K146">
        <v>4</v>
      </c>
      <c r="L146" t="s">
        <v>66</v>
      </c>
      <c r="M146" s="9">
        <v>11668</v>
      </c>
      <c r="N146" t="s">
        <v>36</v>
      </c>
      <c r="O146" t="s">
        <v>54</v>
      </c>
      <c r="P146" t="s">
        <v>27</v>
      </c>
      <c r="Q146" s="2">
        <v>45194</v>
      </c>
      <c r="R146" s="13">
        <f t="shared" si="13"/>
        <v>1740.0000000034925</v>
      </c>
      <c r="S146" s="13">
        <f t="shared" si="14"/>
        <v>-719.75951903783823</v>
      </c>
      <c r="T146" s="2">
        <v>45195.208333333336</v>
      </c>
      <c r="U146" t="s">
        <v>64</v>
      </c>
      <c r="V146" t="s">
        <v>29</v>
      </c>
      <c r="W146" t="s">
        <v>43</v>
      </c>
      <c r="X146">
        <v>6</v>
      </c>
      <c r="Y146">
        <v>10</v>
      </c>
      <c r="Z146" t="s">
        <v>31</v>
      </c>
    </row>
    <row r="147" spans="1:26">
      <c r="A147" t="s">
        <v>204</v>
      </c>
      <c r="B147">
        <v>4</v>
      </c>
      <c r="C147" t="str">
        <f t="shared" si="10"/>
        <v>0-17</v>
      </c>
      <c r="D147" t="s">
        <v>62</v>
      </c>
      <c r="E147" s="2">
        <v>45467</v>
      </c>
      <c r="F147" s="2" t="str">
        <f t="shared" ca="1" si="11"/>
        <v>No</v>
      </c>
      <c r="G147" s="2" t="str">
        <f t="shared" si="12"/>
        <v>Jun-2024</v>
      </c>
      <c r="H147" s="2">
        <v>45329</v>
      </c>
      <c r="I147">
        <v>8</v>
      </c>
      <c r="J147" t="s">
        <v>23</v>
      </c>
      <c r="K147">
        <v>2</v>
      </c>
      <c r="L147" t="s">
        <v>66</v>
      </c>
      <c r="M147" s="9">
        <v>45769</v>
      </c>
      <c r="N147" t="s">
        <v>53</v>
      </c>
      <c r="O147" t="s">
        <v>26</v>
      </c>
      <c r="P147" t="s">
        <v>27</v>
      </c>
      <c r="Q147" s="2">
        <v>45465</v>
      </c>
      <c r="R147" s="13">
        <f t="shared" si="13"/>
        <v>1319.9999999965075</v>
      </c>
      <c r="S147" s="13">
        <f t="shared" si="14"/>
        <v>-717.95591182340934</v>
      </c>
      <c r="T147" s="2">
        <v>45465.916666666664</v>
      </c>
      <c r="U147" t="s">
        <v>64</v>
      </c>
      <c r="V147" t="s">
        <v>29</v>
      </c>
      <c r="W147" t="s">
        <v>43</v>
      </c>
      <c r="X147">
        <v>9</v>
      </c>
      <c r="Y147">
        <v>12</v>
      </c>
      <c r="Z147" t="s">
        <v>68</v>
      </c>
    </row>
    <row r="148" spans="1:26">
      <c r="A148" t="s">
        <v>205</v>
      </c>
      <c r="B148">
        <v>23</v>
      </c>
      <c r="C148" t="str">
        <f t="shared" si="10"/>
        <v>18-35</v>
      </c>
      <c r="D148" t="s">
        <v>45</v>
      </c>
      <c r="E148" s="2">
        <v>45538</v>
      </c>
      <c r="F148" s="2" t="str">
        <f t="shared" ca="1" si="11"/>
        <v>No</v>
      </c>
      <c r="G148" s="2" t="str">
        <f t="shared" si="12"/>
        <v>Sep-2024</v>
      </c>
      <c r="H148" s="2">
        <v>45374</v>
      </c>
      <c r="I148">
        <v>14</v>
      </c>
      <c r="J148" t="s">
        <v>57</v>
      </c>
      <c r="K148">
        <v>5</v>
      </c>
      <c r="L148" t="s">
        <v>66</v>
      </c>
      <c r="M148" s="9">
        <v>14921</v>
      </c>
      <c r="N148" t="s">
        <v>60</v>
      </c>
      <c r="O148" t="s">
        <v>26</v>
      </c>
      <c r="P148" t="s">
        <v>27</v>
      </c>
      <c r="Q148" s="2">
        <v>45415</v>
      </c>
      <c r="R148" s="13">
        <f t="shared" si="13"/>
        <v>44879.999999996508</v>
      </c>
      <c r="S148" s="13">
        <f t="shared" si="14"/>
        <v>-717.11422845666186</v>
      </c>
      <c r="T148" s="2">
        <v>45446.166666666664</v>
      </c>
      <c r="U148" t="s">
        <v>55</v>
      </c>
      <c r="V148" t="s">
        <v>29</v>
      </c>
      <c r="W148" t="s">
        <v>30</v>
      </c>
      <c r="X148">
        <v>6</v>
      </c>
      <c r="Y148">
        <v>8</v>
      </c>
      <c r="Z148" t="s">
        <v>31</v>
      </c>
    </row>
    <row r="149" spans="1:26">
      <c r="A149" t="s">
        <v>206</v>
      </c>
      <c r="B149">
        <v>15</v>
      </c>
      <c r="C149" t="str">
        <f t="shared" si="10"/>
        <v>0-17</v>
      </c>
      <c r="D149" t="s">
        <v>33</v>
      </c>
      <c r="E149" s="2">
        <v>45054</v>
      </c>
      <c r="F149" s="2" t="str">
        <f t="shared" ca="1" si="11"/>
        <v>No</v>
      </c>
      <c r="G149" s="2" t="str">
        <f t="shared" si="12"/>
        <v>May-2023</v>
      </c>
      <c r="H149" s="2">
        <v>45268</v>
      </c>
      <c r="I149">
        <v>7</v>
      </c>
      <c r="J149" t="s">
        <v>23</v>
      </c>
      <c r="K149">
        <v>2</v>
      </c>
      <c r="L149" t="s">
        <v>35</v>
      </c>
      <c r="M149" s="9">
        <v>39959</v>
      </c>
      <c r="N149" t="s">
        <v>53</v>
      </c>
      <c r="O149" t="s">
        <v>26</v>
      </c>
      <c r="P149" t="s">
        <v>27</v>
      </c>
      <c r="Q149" s="2">
        <v>45054</v>
      </c>
      <c r="R149" s="13">
        <f t="shared" si="13"/>
        <v>45720</v>
      </c>
      <c r="S149" s="13">
        <f t="shared" si="14"/>
        <v>-805.37074148269994</v>
      </c>
      <c r="T149" s="2">
        <v>45085.75</v>
      </c>
      <c r="U149" t="s">
        <v>28</v>
      </c>
      <c r="V149" t="s">
        <v>29</v>
      </c>
      <c r="W149" t="s">
        <v>43</v>
      </c>
      <c r="X149">
        <v>5</v>
      </c>
      <c r="Y149">
        <v>12</v>
      </c>
      <c r="Z149" t="s">
        <v>68</v>
      </c>
    </row>
    <row r="150" spans="1:26">
      <c r="A150" t="s">
        <v>207</v>
      </c>
      <c r="B150">
        <v>43</v>
      </c>
      <c r="C150" t="str">
        <f t="shared" si="10"/>
        <v>36-50</v>
      </c>
      <c r="D150" t="s">
        <v>52</v>
      </c>
      <c r="E150" s="2">
        <v>45132</v>
      </c>
      <c r="F150" s="2" t="str">
        <f t="shared" ca="1" si="11"/>
        <v>No</v>
      </c>
      <c r="G150" s="2" t="str">
        <f t="shared" si="12"/>
        <v>Jul-2023</v>
      </c>
      <c r="H150" s="2">
        <v>44934</v>
      </c>
      <c r="I150">
        <v>7</v>
      </c>
      <c r="J150" t="s">
        <v>57</v>
      </c>
      <c r="K150">
        <v>3</v>
      </c>
      <c r="L150" t="s">
        <v>71</v>
      </c>
      <c r="M150" s="9">
        <v>37328</v>
      </c>
      <c r="N150" t="s">
        <v>53</v>
      </c>
      <c r="O150" t="s">
        <v>26</v>
      </c>
      <c r="P150" t="s">
        <v>41</v>
      </c>
      <c r="Q150" s="2">
        <v>45132</v>
      </c>
      <c r="R150" s="13">
        <f t="shared" si="13"/>
        <v>2340</v>
      </c>
      <c r="S150" s="13">
        <f t="shared" si="14"/>
        <v>-896.27254508991439</v>
      </c>
      <c r="T150" s="2">
        <v>45133.625</v>
      </c>
      <c r="U150" t="s">
        <v>28</v>
      </c>
      <c r="V150" t="s">
        <v>29</v>
      </c>
      <c r="W150" t="s">
        <v>30</v>
      </c>
      <c r="X150">
        <v>7</v>
      </c>
      <c r="Y150">
        <v>12</v>
      </c>
      <c r="Z150" t="s">
        <v>48</v>
      </c>
    </row>
    <row r="151" spans="1:26">
      <c r="A151" t="s">
        <v>208</v>
      </c>
      <c r="B151">
        <v>29</v>
      </c>
      <c r="C151" t="str">
        <f t="shared" si="10"/>
        <v>18-35</v>
      </c>
      <c r="D151" t="s">
        <v>52</v>
      </c>
      <c r="E151" s="2">
        <v>45246</v>
      </c>
      <c r="F151" s="2" t="str">
        <f t="shared" ca="1" si="11"/>
        <v>No</v>
      </c>
      <c r="G151" s="2" t="str">
        <f t="shared" si="12"/>
        <v>Nov-2023</v>
      </c>
      <c r="H151" s="2">
        <v>45257</v>
      </c>
      <c r="I151">
        <v>11</v>
      </c>
      <c r="J151" t="s">
        <v>50</v>
      </c>
      <c r="K151">
        <v>3</v>
      </c>
      <c r="L151" t="s">
        <v>46</v>
      </c>
      <c r="M151" s="9">
        <v>13859</v>
      </c>
      <c r="N151" t="s">
        <v>36</v>
      </c>
      <c r="O151" t="s">
        <v>54</v>
      </c>
      <c r="P151" t="s">
        <v>27</v>
      </c>
      <c r="Q151" s="2">
        <v>45246</v>
      </c>
      <c r="R151" s="13">
        <f t="shared" si="13"/>
        <v>540</v>
      </c>
      <c r="S151" s="13">
        <f t="shared" si="14"/>
        <v>-900.12024048070293</v>
      </c>
      <c r="T151" s="2">
        <v>45246.375</v>
      </c>
      <c r="U151" t="s">
        <v>28</v>
      </c>
      <c r="V151" t="s">
        <v>29</v>
      </c>
      <c r="W151" t="s">
        <v>30</v>
      </c>
      <c r="X151">
        <v>11</v>
      </c>
      <c r="Y151">
        <v>12</v>
      </c>
      <c r="Z151" t="s">
        <v>48</v>
      </c>
    </row>
    <row r="152" spans="1:26">
      <c r="A152" t="s">
        <v>209</v>
      </c>
      <c r="B152">
        <v>36</v>
      </c>
      <c r="C152" t="str">
        <f t="shared" si="10"/>
        <v>36-50</v>
      </c>
      <c r="D152" t="s">
        <v>52</v>
      </c>
      <c r="E152" s="2">
        <v>45335</v>
      </c>
      <c r="F152" s="2" t="str">
        <f t="shared" ca="1" si="11"/>
        <v>No</v>
      </c>
      <c r="G152" s="2" t="str">
        <f t="shared" si="12"/>
        <v>Feb-2024</v>
      </c>
      <c r="H152" s="2">
        <v>45337</v>
      </c>
      <c r="I152">
        <v>2</v>
      </c>
      <c r="J152" t="s">
        <v>34</v>
      </c>
      <c r="K152">
        <v>2</v>
      </c>
      <c r="L152" t="s">
        <v>24</v>
      </c>
      <c r="M152" s="9">
        <v>28970</v>
      </c>
      <c r="N152" t="s">
        <v>53</v>
      </c>
      <c r="O152" t="s">
        <v>54</v>
      </c>
      <c r="P152" t="s">
        <v>27</v>
      </c>
      <c r="Q152" s="2">
        <v>45335</v>
      </c>
      <c r="R152" s="13">
        <f t="shared" si="13"/>
        <v>1200.0000000034925</v>
      </c>
      <c r="S152" s="13">
        <f t="shared" si="14"/>
        <v>-900.12024048070293</v>
      </c>
      <c r="T152" s="2">
        <v>45335.833333333336</v>
      </c>
      <c r="U152" t="s">
        <v>28</v>
      </c>
      <c r="V152" t="s">
        <v>29</v>
      </c>
      <c r="W152" t="s">
        <v>47</v>
      </c>
      <c r="X152">
        <v>10</v>
      </c>
      <c r="Y152">
        <v>8</v>
      </c>
      <c r="Z152" t="s">
        <v>48</v>
      </c>
    </row>
    <row r="153" spans="1:26">
      <c r="A153" t="s">
        <v>210</v>
      </c>
      <c r="B153">
        <v>13</v>
      </c>
      <c r="C153" t="str">
        <f t="shared" si="10"/>
        <v>0-17</v>
      </c>
      <c r="D153" t="s">
        <v>52</v>
      </c>
      <c r="E153" s="2">
        <v>45309</v>
      </c>
      <c r="F153" s="2" t="str">
        <f t="shared" ca="1" si="11"/>
        <v>No</v>
      </c>
      <c r="G153" s="2" t="str">
        <f t="shared" si="12"/>
        <v>Jan-2024</v>
      </c>
      <c r="H153" s="2">
        <v>45317</v>
      </c>
      <c r="I153">
        <v>8</v>
      </c>
      <c r="J153" t="s">
        <v>40</v>
      </c>
      <c r="K153">
        <v>3</v>
      </c>
      <c r="L153" t="s">
        <v>24</v>
      </c>
      <c r="M153" s="9">
        <v>13872</v>
      </c>
      <c r="N153" t="s">
        <v>67</v>
      </c>
      <c r="O153" t="s">
        <v>54</v>
      </c>
      <c r="P153" t="s">
        <v>27</v>
      </c>
      <c r="Q153" s="2">
        <v>45304</v>
      </c>
      <c r="R153" s="13">
        <f t="shared" si="13"/>
        <v>1260</v>
      </c>
      <c r="S153" s="13">
        <f t="shared" si="14"/>
        <v>-901.56312625224609</v>
      </c>
      <c r="T153" s="2">
        <v>45304.875</v>
      </c>
      <c r="U153" t="s">
        <v>64</v>
      </c>
      <c r="V153" t="s">
        <v>29</v>
      </c>
      <c r="W153" t="s">
        <v>43</v>
      </c>
      <c r="X153">
        <v>8</v>
      </c>
      <c r="Y153">
        <v>10</v>
      </c>
      <c r="Z153" t="s">
        <v>68</v>
      </c>
    </row>
    <row r="154" spans="1:26">
      <c r="A154" t="s">
        <v>211</v>
      </c>
      <c r="B154">
        <v>32</v>
      </c>
      <c r="C154" t="str">
        <f t="shared" si="10"/>
        <v>18-35</v>
      </c>
      <c r="D154" t="s">
        <v>62</v>
      </c>
      <c r="E154" s="2">
        <v>45375</v>
      </c>
      <c r="F154" s="2" t="str">
        <f t="shared" ca="1" si="11"/>
        <v>No</v>
      </c>
      <c r="G154" s="2" t="str">
        <f t="shared" si="12"/>
        <v>Mar-2024</v>
      </c>
      <c r="H154" s="2">
        <v>45416</v>
      </c>
      <c r="I154">
        <v>12</v>
      </c>
      <c r="J154" t="s">
        <v>40</v>
      </c>
      <c r="K154">
        <v>3</v>
      </c>
      <c r="L154" t="s">
        <v>66</v>
      </c>
      <c r="M154" s="9">
        <v>24230</v>
      </c>
      <c r="N154" t="s">
        <v>67</v>
      </c>
      <c r="O154" t="s">
        <v>26</v>
      </c>
      <c r="P154" t="s">
        <v>27</v>
      </c>
      <c r="Q154" s="2">
        <v>45371</v>
      </c>
      <c r="R154" s="13">
        <f t="shared" si="13"/>
        <v>2340</v>
      </c>
      <c r="S154" s="13">
        <f t="shared" si="14"/>
        <v>-815.83166332638734</v>
      </c>
      <c r="T154" s="2">
        <v>45372.625</v>
      </c>
      <c r="U154" t="s">
        <v>37</v>
      </c>
      <c r="V154" t="s">
        <v>29</v>
      </c>
      <c r="W154" t="s">
        <v>43</v>
      </c>
      <c r="X154">
        <v>11</v>
      </c>
      <c r="Y154">
        <v>10</v>
      </c>
      <c r="Z154" t="s">
        <v>31</v>
      </c>
    </row>
    <row r="155" spans="1:26">
      <c r="A155" t="s">
        <v>212</v>
      </c>
      <c r="B155">
        <v>71</v>
      </c>
      <c r="C155" t="str">
        <f t="shared" si="10"/>
        <v>66+</v>
      </c>
      <c r="D155" t="s">
        <v>45</v>
      </c>
      <c r="E155" s="2">
        <v>45456</v>
      </c>
      <c r="F155" s="2" t="str">
        <f t="shared" ca="1" si="11"/>
        <v>No</v>
      </c>
      <c r="G155" s="2" t="str">
        <f t="shared" si="12"/>
        <v>Jun-2024</v>
      </c>
      <c r="H155" s="2">
        <v>45471</v>
      </c>
      <c r="I155">
        <v>15</v>
      </c>
      <c r="J155" t="s">
        <v>34</v>
      </c>
      <c r="K155">
        <v>5</v>
      </c>
      <c r="L155" t="s">
        <v>71</v>
      </c>
      <c r="M155" s="9">
        <v>31708</v>
      </c>
      <c r="N155" t="s">
        <v>25</v>
      </c>
      <c r="O155" t="s">
        <v>26</v>
      </c>
      <c r="P155" t="s">
        <v>27</v>
      </c>
      <c r="Q155" s="2">
        <v>45602</v>
      </c>
      <c r="R155" s="13">
        <f t="shared" si="13"/>
        <v>44460</v>
      </c>
      <c r="S155" s="13">
        <f t="shared" si="14"/>
        <v>-814.86973947868501</v>
      </c>
      <c r="T155" s="2">
        <v>45632.875</v>
      </c>
      <c r="U155" t="s">
        <v>55</v>
      </c>
      <c r="V155" t="s">
        <v>38</v>
      </c>
      <c r="W155" t="s">
        <v>43</v>
      </c>
      <c r="X155">
        <v>4</v>
      </c>
      <c r="Y155">
        <v>12</v>
      </c>
      <c r="Z155" t="s">
        <v>48</v>
      </c>
    </row>
    <row r="156" spans="1:26">
      <c r="A156" t="s">
        <v>213</v>
      </c>
      <c r="B156">
        <v>59</v>
      </c>
      <c r="C156" t="str">
        <f t="shared" si="10"/>
        <v>51-65</v>
      </c>
      <c r="D156" t="s">
        <v>41</v>
      </c>
      <c r="E156" s="2">
        <v>45477</v>
      </c>
      <c r="F156" s="2" t="str">
        <f t="shared" ca="1" si="11"/>
        <v>No</v>
      </c>
      <c r="G156" s="2" t="str">
        <f t="shared" si="12"/>
        <v>Jul-2024</v>
      </c>
      <c r="H156" s="2">
        <v>45397</v>
      </c>
      <c r="I156">
        <v>8</v>
      </c>
      <c r="J156" t="s">
        <v>40</v>
      </c>
      <c r="K156">
        <v>4</v>
      </c>
      <c r="L156" t="s">
        <v>35</v>
      </c>
      <c r="M156" s="9">
        <v>23847</v>
      </c>
      <c r="N156" t="s">
        <v>36</v>
      </c>
      <c r="O156" t="s">
        <v>54</v>
      </c>
      <c r="P156" t="s">
        <v>27</v>
      </c>
      <c r="Q156" s="2">
        <v>45326</v>
      </c>
      <c r="R156" s="13">
        <f t="shared" si="13"/>
        <v>779.99999999650754</v>
      </c>
      <c r="S156" s="13">
        <f t="shared" si="14"/>
        <v>-900.96192384742938</v>
      </c>
      <c r="T156" s="2">
        <v>45326.541666666664</v>
      </c>
      <c r="U156" t="s">
        <v>37</v>
      </c>
      <c r="V156" t="s">
        <v>29</v>
      </c>
      <c r="W156" t="s">
        <v>30</v>
      </c>
      <c r="X156">
        <v>5</v>
      </c>
      <c r="Y156">
        <v>12</v>
      </c>
      <c r="Z156" t="s">
        <v>31</v>
      </c>
    </row>
    <row r="157" spans="1:26">
      <c r="A157" t="s">
        <v>214</v>
      </c>
      <c r="B157">
        <v>86</v>
      </c>
      <c r="C157" t="str">
        <f t="shared" si="10"/>
        <v>66+</v>
      </c>
      <c r="D157" t="s">
        <v>22</v>
      </c>
      <c r="E157" s="2">
        <v>45021</v>
      </c>
      <c r="F157" s="2" t="str">
        <f t="shared" ca="1" si="11"/>
        <v>No</v>
      </c>
      <c r="G157" s="2" t="str">
        <f t="shared" si="12"/>
        <v>Apr-2023</v>
      </c>
      <c r="H157" s="2">
        <v>45082</v>
      </c>
      <c r="I157">
        <v>2</v>
      </c>
      <c r="J157" t="s">
        <v>23</v>
      </c>
      <c r="K157">
        <v>5</v>
      </c>
      <c r="L157" t="s">
        <v>71</v>
      </c>
      <c r="M157" s="9">
        <v>32105</v>
      </c>
      <c r="N157" t="s">
        <v>25</v>
      </c>
      <c r="O157" t="s">
        <v>54</v>
      </c>
      <c r="P157" t="s">
        <v>27</v>
      </c>
      <c r="Q157" s="2">
        <v>44990</v>
      </c>
      <c r="R157" s="13">
        <f t="shared" si="13"/>
        <v>45059.999999996508</v>
      </c>
      <c r="S157" s="13">
        <f t="shared" si="14"/>
        <v>-899.75951903779617</v>
      </c>
      <c r="T157" s="2">
        <v>45021.291666666664</v>
      </c>
      <c r="U157" t="s">
        <v>37</v>
      </c>
      <c r="V157" t="s">
        <v>29</v>
      </c>
      <c r="W157" t="s">
        <v>43</v>
      </c>
      <c r="X157">
        <v>10</v>
      </c>
      <c r="Y157">
        <v>8</v>
      </c>
      <c r="Z157" t="s">
        <v>31</v>
      </c>
    </row>
    <row r="158" spans="1:26">
      <c r="A158" t="s">
        <v>215</v>
      </c>
      <c r="B158">
        <v>28</v>
      </c>
      <c r="C158" t="str">
        <f t="shared" si="10"/>
        <v>18-35</v>
      </c>
      <c r="D158" t="s">
        <v>62</v>
      </c>
      <c r="E158" s="2">
        <v>45239</v>
      </c>
      <c r="F158" s="2" t="str">
        <f t="shared" ca="1" si="11"/>
        <v>No</v>
      </c>
      <c r="G158" s="2" t="str">
        <f t="shared" si="12"/>
        <v>Nov-2023</v>
      </c>
      <c r="H158" s="2">
        <v>45195</v>
      </c>
      <c r="I158">
        <v>15</v>
      </c>
      <c r="J158" t="s">
        <v>50</v>
      </c>
      <c r="K158">
        <v>1</v>
      </c>
      <c r="L158" t="s">
        <v>71</v>
      </c>
      <c r="M158" s="9">
        <v>9922</v>
      </c>
      <c r="N158" t="s">
        <v>67</v>
      </c>
      <c r="O158" t="s">
        <v>54</v>
      </c>
      <c r="P158" t="s">
        <v>41</v>
      </c>
      <c r="Q158" s="2">
        <v>45116</v>
      </c>
      <c r="R158" s="13">
        <f t="shared" si="13"/>
        <v>1260</v>
      </c>
      <c r="S158" s="13">
        <f t="shared" si="14"/>
        <v>-986.69338677326709</v>
      </c>
      <c r="T158" s="2">
        <v>45116.875</v>
      </c>
      <c r="U158" t="s">
        <v>42</v>
      </c>
      <c r="V158" t="s">
        <v>29</v>
      </c>
      <c r="W158" t="s">
        <v>47</v>
      </c>
      <c r="X158">
        <v>4</v>
      </c>
      <c r="Y158">
        <v>12</v>
      </c>
      <c r="Z158" t="s">
        <v>48</v>
      </c>
    </row>
    <row r="159" spans="1:26">
      <c r="A159" t="s">
        <v>216</v>
      </c>
      <c r="B159">
        <v>66</v>
      </c>
      <c r="C159" t="str">
        <f t="shared" si="10"/>
        <v>66+</v>
      </c>
      <c r="D159" t="s">
        <v>62</v>
      </c>
      <c r="E159" s="2">
        <v>45157</v>
      </c>
      <c r="F159" s="2" t="str">
        <f t="shared" ca="1" si="11"/>
        <v>No</v>
      </c>
      <c r="G159" s="2" t="str">
        <f t="shared" si="12"/>
        <v>Aug-2023</v>
      </c>
      <c r="H159" s="2">
        <v>45159</v>
      </c>
      <c r="I159">
        <v>2</v>
      </c>
      <c r="J159" t="s">
        <v>50</v>
      </c>
      <c r="K159">
        <v>5</v>
      </c>
      <c r="L159" t="s">
        <v>35</v>
      </c>
      <c r="M159" s="9">
        <v>9392</v>
      </c>
      <c r="N159" t="s">
        <v>25</v>
      </c>
      <c r="O159" t="s">
        <v>26</v>
      </c>
      <c r="P159" t="s">
        <v>27</v>
      </c>
      <c r="Q159" s="2">
        <v>45154</v>
      </c>
      <c r="R159" s="13">
        <f t="shared" si="13"/>
        <v>720</v>
      </c>
      <c r="S159" s="13">
        <f t="shared" si="14"/>
        <v>-986.69338677326709</v>
      </c>
      <c r="T159" s="2">
        <v>45154.5</v>
      </c>
      <c r="U159" t="s">
        <v>28</v>
      </c>
      <c r="V159" t="s">
        <v>29</v>
      </c>
      <c r="W159" t="s">
        <v>47</v>
      </c>
      <c r="X159">
        <v>4</v>
      </c>
      <c r="Y159">
        <v>12</v>
      </c>
      <c r="Z159" t="s">
        <v>68</v>
      </c>
    </row>
    <row r="160" spans="1:26">
      <c r="A160" t="s">
        <v>217</v>
      </c>
      <c r="B160">
        <v>42</v>
      </c>
      <c r="C160" t="str">
        <f t="shared" si="10"/>
        <v>36-50</v>
      </c>
      <c r="D160" t="s">
        <v>41</v>
      </c>
      <c r="E160" s="2">
        <v>45110</v>
      </c>
      <c r="F160" s="2" t="str">
        <f t="shared" ca="1" si="11"/>
        <v>No</v>
      </c>
      <c r="G160" s="2" t="str">
        <f t="shared" si="12"/>
        <v>Jul-2023</v>
      </c>
      <c r="H160" s="2">
        <v>44998</v>
      </c>
      <c r="I160">
        <v>6</v>
      </c>
      <c r="J160" t="s">
        <v>34</v>
      </c>
      <c r="K160">
        <v>2</v>
      </c>
      <c r="L160" t="s">
        <v>66</v>
      </c>
      <c r="M160" s="9">
        <v>18541</v>
      </c>
      <c r="N160" t="s">
        <v>36</v>
      </c>
      <c r="O160" t="s">
        <v>54</v>
      </c>
      <c r="P160" t="s">
        <v>27</v>
      </c>
      <c r="Q160" s="2">
        <v>44988</v>
      </c>
      <c r="R160" s="13">
        <f t="shared" si="13"/>
        <v>44760.000000003492</v>
      </c>
      <c r="S160" s="13">
        <f t="shared" si="14"/>
        <v>-987.05410821615294</v>
      </c>
      <c r="T160" s="2">
        <v>45019.083333333336</v>
      </c>
      <c r="U160" t="s">
        <v>64</v>
      </c>
      <c r="V160" t="s">
        <v>29</v>
      </c>
      <c r="W160" t="s">
        <v>43</v>
      </c>
      <c r="X160">
        <v>7</v>
      </c>
      <c r="Y160">
        <v>12</v>
      </c>
      <c r="Z160" t="s">
        <v>31</v>
      </c>
    </row>
    <row r="161" spans="1:26">
      <c r="A161" t="s">
        <v>218</v>
      </c>
      <c r="B161">
        <v>45</v>
      </c>
      <c r="C161" t="str">
        <f t="shared" si="10"/>
        <v>36-50</v>
      </c>
      <c r="D161" t="s">
        <v>41</v>
      </c>
      <c r="E161" s="2">
        <v>45273</v>
      </c>
      <c r="F161" s="2" t="str">
        <f t="shared" ca="1" si="11"/>
        <v>No</v>
      </c>
      <c r="G161" s="2" t="str">
        <f t="shared" si="12"/>
        <v>Dec-2023</v>
      </c>
      <c r="H161" s="2">
        <v>45283</v>
      </c>
      <c r="I161">
        <v>10</v>
      </c>
      <c r="J161" t="s">
        <v>40</v>
      </c>
      <c r="K161">
        <v>4</v>
      </c>
      <c r="L161" t="s">
        <v>71</v>
      </c>
      <c r="M161" s="9">
        <v>24551</v>
      </c>
      <c r="N161" t="s">
        <v>36</v>
      </c>
      <c r="O161" t="s">
        <v>54</v>
      </c>
      <c r="P161" t="s">
        <v>27</v>
      </c>
      <c r="Q161" s="2">
        <v>45150</v>
      </c>
      <c r="R161" s="13">
        <f t="shared" si="13"/>
        <v>1260</v>
      </c>
      <c r="S161" s="13">
        <f t="shared" si="14"/>
        <v>-1074.8296593183713</v>
      </c>
      <c r="T161" s="2">
        <v>45150.875</v>
      </c>
      <c r="U161" t="s">
        <v>28</v>
      </c>
      <c r="V161" t="s">
        <v>29</v>
      </c>
      <c r="W161" t="s">
        <v>30</v>
      </c>
      <c r="X161">
        <v>8</v>
      </c>
      <c r="Y161">
        <v>10</v>
      </c>
      <c r="Z161" t="s">
        <v>48</v>
      </c>
    </row>
    <row r="162" spans="1:26">
      <c r="A162" t="s">
        <v>219</v>
      </c>
      <c r="B162">
        <v>62</v>
      </c>
      <c r="C162" t="str">
        <f t="shared" si="10"/>
        <v>51-65</v>
      </c>
      <c r="D162" t="s">
        <v>22</v>
      </c>
      <c r="E162" s="2">
        <v>44948</v>
      </c>
      <c r="F162" s="2" t="str">
        <f t="shared" ca="1" si="11"/>
        <v>No</v>
      </c>
      <c r="G162" s="2" t="str">
        <f t="shared" si="12"/>
        <v>Jan-2023</v>
      </c>
      <c r="H162" s="2">
        <v>44951</v>
      </c>
      <c r="I162">
        <v>3</v>
      </c>
      <c r="J162" t="s">
        <v>23</v>
      </c>
      <c r="K162">
        <v>2</v>
      </c>
      <c r="L162" t="s">
        <v>24</v>
      </c>
      <c r="M162" s="9">
        <v>24381</v>
      </c>
      <c r="N162" t="s">
        <v>53</v>
      </c>
      <c r="O162" t="s">
        <v>54</v>
      </c>
      <c r="P162" t="s">
        <v>41</v>
      </c>
      <c r="Q162" s="2">
        <v>44948</v>
      </c>
      <c r="R162" s="13">
        <f t="shared" si="13"/>
        <v>1139.9999999965075</v>
      </c>
      <c r="S162" s="13">
        <f t="shared" si="14"/>
        <v>-1075.1903807612571</v>
      </c>
      <c r="T162" s="2">
        <v>44948.791666666664</v>
      </c>
      <c r="U162" t="s">
        <v>28</v>
      </c>
      <c r="V162" t="s">
        <v>29</v>
      </c>
      <c r="W162" t="s">
        <v>47</v>
      </c>
      <c r="X162">
        <v>4</v>
      </c>
      <c r="Y162">
        <v>12</v>
      </c>
      <c r="Z162" t="s">
        <v>31</v>
      </c>
    </row>
    <row r="163" spans="1:26">
      <c r="A163" t="s">
        <v>220</v>
      </c>
      <c r="B163">
        <v>57</v>
      </c>
      <c r="C163" t="str">
        <f t="shared" si="10"/>
        <v>51-65</v>
      </c>
      <c r="D163" t="s">
        <v>22</v>
      </c>
      <c r="E163" s="2">
        <v>45162</v>
      </c>
      <c r="F163" s="2" t="str">
        <f t="shared" ca="1" si="11"/>
        <v>No</v>
      </c>
      <c r="G163" s="2" t="str">
        <f t="shared" si="12"/>
        <v>Aug-2023</v>
      </c>
      <c r="H163" s="2">
        <v>45164</v>
      </c>
      <c r="I163">
        <v>2</v>
      </c>
      <c r="J163" t="s">
        <v>50</v>
      </c>
      <c r="K163">
        <v>1</v>
      </c>
      <c r="L163" t="s">
        <v>35</v>
      </c>
      <c r="M163" s="9">
        <v>40995</v>
      </c>
      <c r="N163" t="s">
        <v>60</v>
      </c>
      <c r="O163" t="s">
        <v>26</v>
      </c>
      <c r="P163" t="s">
        <v>27</v>
      </c>
      <c r="Q163" s="2">
        <v>45159</v>
      </c>
      <c r="R163" s="13">
        <f t="shared" si="13"/>
        <v>2880</v>
      </c>
      <c r="S163" s="13">
        <f t="shared" si="14"/>
        <v>-985.85170340654065</v>
      </c>
      <c r="T163" s="2">
        <v>45161</v>
      </c>
      <c r="U163" t="s">
        <v>37</v>
      </c>
      <c r="V163" t="s">
        <v>29</v>
      </c>
      <c r="W163" t="s">
        <v>47</v>
      </c>
      <c r="X163">
        <v>9</v>
      </c>
      <c r="Y163">
        <v>10</v>
      </c>
      <c r="Z163" t="s">
        <v>31</v>
      </c>
    </row>
    <row r="164" spans="1:26">
      <c r="A164" t="s">
        <v>221</v>
      </c>
      <c r="B164">
        <v>6</v>
      </c>
      <c r="C164" t="str">
        <f t="shared" si="10"/>
        <v>0-17</v>
      </c>
      <c r="D164" t="s">
        <v>41</v>
      </c>
      <c r="E164" s="2">
        <v>45152</v>
      </c>
      <c r="F164" s="2" t="str">
        <f t="shared" ca="1" si="11"/>
        <v>No</v>
      </c>
      <c r="G164" s="2" t="str">
        <f t="shared" si="12"/>
        <v>Aug-2023</v>
      </c>
      <c r="H164" s="2">
        <v>45155</v>
      </c>
      <c r="I164">
        <v>3</v>
      </c>
      <c r="J164" t="s">
        <v>50</v>
      </c>
      <c r="K164">
        <v>4</v>
      </c>
      <c r="L164" t="s">
        <v>46</v>
      </c>
      <c r="M164" s="9">
        <v>27948</v>
      </c>
      <c r="N164" t="s">
        <v>53</v>
      </c>
      <c r="O164" t="s">
        <v>26</v>
      </c>
      <c r="P164" t="s">
        <v>41</v>
      </c>
      <c r="Q164" s="2">
        <v>45177</v>
      </c>
      <c r="R164" s="13">
        <f t="shared" si="13"/>
        <v>44460</v>
      </c>
      <c r="S164" s="13">
        <f t="shared" si="14"/>
        <v>-990.90180360694148</v>
      </c>
      <c r="T164" s="2">
        <v>45207.875</v>
      </c>
      <c r="U164" t="s">
        <v>42</v>
      </c>
      <c r="V164" t="s">
        <v>29</v>
      </c>
      <c r="W164" t="s">
        <v>30</v>
      </c>
      <c r="X164">
        <v>10</v>
      </c>
      <c r="Y164">
        <v>8</v>
      </c>
      <c r="Z164" t="s">
        <v>31</v>
      </c>
    </row>
    <row r="165" spans="1:26">
      <c r="A165" t="s">
        <v>222</v>
      </c>
      <c r="B165">
        <v>28</v>
      </c>
      <c r="C165" t="str">
        <f t="shared" si="10"/>
        <v>18-35</v>
      </c>
      <c r="D165" t="s">
        <v>52</v>
      </c>
      <c r="E165" s="2">
        <v>45139</v>
      </c>
      <c r="F165" s="2" t="str">
        <f t="shared" ca="1" si="11"/>
        <v>No</v>
      </c>
      <c r="G165" s="2" t="str">
        <f t="shared" si="12"/>
        <v>Aug-2023</v>
      </c>
      <c r="H165" s="2">
        <v>44939</v>
      </c>
      <c r="I165">
        <v>5</v>
      </c>
      <c r="J165" t="s">
        <v>63</v>
      </c>
      <c r="K165">
        <v>3</v>
      </c>
      <c r="L165" t="s">
        <v>66</v>
      </c>
      <c r="M165" s="9">
        <v>31728</v>
      </c>
      <c r="N165" t="s">
        <v>36</v>
      </c>
      <c r="O165" t="s">
        <v>54</v>
      </c>
      <c r="P165" t="s">
        <v>27</v>
      </c>
      <c r="Q165" s="2">
        <v>45017</v>
      </c>
      <c r="R165" s="13">
        <f t="shared" si="13"/>
        <v>44220.000000003492</v>
      </c>
      <c r="S165" s="13">
        <f t="shared" si="14"/>
        <v>-1078.0761523043432</v>
      </c>
      <c r="T165" s="2">
        <v>45047.708333333336</v>
      </c>
      <c r="U165" t="s">
        <v>28</v>
      </c>
      <c r="V165" t="s">
        <v>29</v>
      </c>
      <c r="W165" t="s">
        <v>47</v>
      </c>
      <c r="X165">
        <v>11</v>
      </c>
      <c r="Y165">
        <v>8</v>
      </c>
      <c r="Z165" t="s">
        <v>31</v>
      </c>
    </row>
    <row r="166" spans="1:26">
      <c r="A166" t="s">
        <v>223</v>
      </c>
      <c r="B166">
        <v>28</v>
      </c>
      <c r="C166" t="str">
        <f t="shared" si="10"/>
        <v>18-35</v>
      </c>
      <c r="D166" t="s">
        <v>62</v>
      </c>
      <c r="E166" s="2">
        <v>44999</v>
      </c>
      <c r="F166" s="2" t="str">
        <f t="shared" ca="1" si="11"/>
        <v>No</v>
      </c>
      <c r="G166" s="2" t="str">
        <f t="shared" si="12"/>
        <v>Mar-2023</v>
      </c>
      <c r="H166" s="2">
        <v>45009</v>
      </c>
      <c r="I166">
        <v>10</v>
      </c>
      <c r="J166" t="s">
        <v>63</v>
      </c>
      <c r="K166">
        <v>5</v>
      </c>
      <c r="L166" t="s">
        <v>35</v>
      </c>
      <c r="M166" s="9">
        <v>7024</v>
      </c>
      <c r="N166" t="s">
        <v>67</v>
      </c>
      <c r="O166" t="s">
        <v>26</v>
      </c>
      <c r="P166" t="s">
        <v>27</v>
      </c>
      <c r="Q166" s="2">
        <v>45263</v>
      </c>
      <c r="R166" s="13">
        <f t="shared" si="13"/>
        <v>-381119.99999999651</v>
      </c>
      <c r="S166" s="13">
        <f t="shared" si="14"/>
        <v>-1078.6773547091598</v>
      </c>
      <c r="T166" s="2">
        <v>44998.333333333336</v>
      </c>
      <c r="U166" t="s">
        <v>55</v>
      </c>
      <c r="V166" t="s">
        <v>29</v>
      </c>
      <c r="W166" t="s">
        <v>30</v>
      </c>
      <c r="X166">
        <v>11</v>
      </c>
      <c r="Y166">
        <v>10</v>
      </c>
      <c r="Z166" t="s">
        <v>31</v>
      </c>
    </row>
    <row r="167" spans="1:26">
      <c r="A167" t="s">
        <v>224</v>
      </c>
      <c r="B167">
        <v>44</v>
      </c>
      <c r="C167" t="str">
        <f t="shared" si="10"/>
        <v>36-50</v>
      </c>
      <c r="D167" t="s">
        <v>33</v>
      </c>
      <c r="E167" s="2">
        <v>44960</v>
      </c>
      <c r="F167" s="2" t="str">
        <f t="shared" ca="1" si="11"/>
        <v>No</v>
      </c>
      <c r="G167" s="2" t="str">
        <f t="shared" si="12"/>
        <v>Feb-2023</v>
      </c>
      <c r="H167" s="2">
        <v>44998</v>
      </c>
      <c r="I167">
        <v>11</v>
      </c>
      <c r="J167" t="s">
        <v>50</v>
      </c>
      <c r="K167">
        <v>2</v>
      </c>
      <c r="L167" t="s">
        <v>46</v>
      </c>
      <c r="M167" s="9">
        <v>21713</v>
      </c>
      <c r="N167" t="s">
        <v>67</v>
      </c>
      <c r="O167" t="s">
        <v>54</v>
      </c>
      <c r="P167" t="s">
        <v>27</v>
      </c>
      <c r="Q167" s="2">
        <v>44982</v>
      </c>
      <c r="R167" s="13">
        <f t="shared" si="13"/>
        <v>2219.9999999965075</v>
      </c>
      <c r="S167" s="13">
        <f t="shared" si="14"/>
        <v>-310.22044088151159</v>
      </c>
      <c r="T167" s="2">
        <v>44983.541666666664</v>
      </c>
      <c r="U167" t="s">
        <v>55</v>
      </c>
      <c r="V167" t="s">
        <v>29</v>
      </c>
      <c r="W167" t="s">
        <v>47</v>
      </c>
      <c r="X167">
        <v>4</v>
      </c>
      <c r="Y167">
        <v>10</v>
      </c>
      <c r="Z167" t="s">
        <v>68</v>
      </c>
    </row>
    <row r="168" spans="1:26">
      <c r="A168" t="s">
        <v>225</v>
      </c>
      <c r="B168">
        <v>84</v>
      </c>
      <c r="C168" t="str">
        <f t="shared" si="10"/>
        <v>66+</v>
      </c>
      <c r="D168" t="s">
        <v>22</v>
      </c>
      <c r="E168" s="2">
        <v>45161</v>
      </c>
      <c r="F168" s="2" t="str">
        <f t="shared" ca="1" si="11"/>
        <v>No</v>
      </c>
      <c r="G168" s="2" t="str">
        <f t="shared" si="12"/>
        <v>Aug-2023</v>
      </c>
      <c r="H168" s="2">
        <v>44966</v>
      </c>
      <c r="I168">
        <v>10</v>
      </c>
      <c r="J168" t="s">
        <v>34</v>
      </c>
      <c r="K168">
        <v>1</v>
      </c>
      <c r="L168" t="s">
        <v>46</v>
      </c>
      <c r="M168" s="9">
        <v>7486</v>
      </c>
      <c r="N168" t="s">
        <v>53</v>
      </c>
      <c r="O168" t="s">
        <v>26</v>
      </c>
      <c r="P168" t="s">
        <v>41</v>
      </c>
      <c r="Q168" s="2">
        <v>45159</v>
      </c>
      <c r="R168" s="13">
        <f t="shared" si="13"/>
        <v>959.99999999650754</v>
      </c>
      <c r="S168" s="13">
        <f t="shared" si="14"/>
        <v>-309.97995991958072</v>
      </c>
      <c r="T168" s="2">
        <v>45159.666666666664</v>
      </c>
      <c r="U168" t="s">
        <v>28</v>
      </c>
      <c r="V168" t="s">
        <v>29</v>
      </c>
      <c r="W168" t="s">
        <v>30</v>
      </c>
      <c r="X168">
        <v>5</v>
      </c>
      <c r="Y168">
        <v>10</v>
      </c>
      <c r="Z168" t="s">
        <v>68</v>
      </c>
    </row>
    <row r="169" spans="1:26">
      <c r="A169" t="s">
        <v>226</v>
      </c>
      <c r="B169">
        <v>30</v>
      </c>
      <c r="C169" t="str">
        <f t="shared" si="10"/>
        <v>18-35</v>
      </c>
      <c r="D169" t="s">
        <v>22</v>
      </c>
      <c r="E169" s="2">
        <v>45233</v>
      </c>
      <c r="F169" s="2" t="str">
        <f t="shared" ca="1" si="11"/>
        <v>No</v>
      </c>
      <c r="G169" s="2" t="str">
        <f t="shared" si="12"/>
        <v>Nov-2023</v>
      </c>
      <c r="H169" s="2">
        <v>45005</v>
      </c>
      <c r="I169">
        <v>9</v>
      </c>
      <c r="J169" t="s">
        <v>57</v>
      </c>
      <c r="K169">
        <v>3</v>
      </c>
      <c r="L169" t="s">
        <v>71</v>
      </c>
      <c r="M169" s="9">
        <v>6155</v>
      </c>
      <c r="N169" t="s">
        <v>36</v>
      </c>
      <c r="O169" t="s">
        <v>26</v>
      </c>
      <c r="P169" t="s">
        <v>27</v>
      </c>
      <c r="Q169" s="2">
        <v>45141</v>
      </c>
      <c r="R169" s="13">
        <f t="shared" si="13"/>
        <v>1260</v>
      </c>
      <c r="S169" s="13">
        <f t="shared" si="14"/>
        <v>-306.2525050097471</v>
      </c>
      <c r="T169" s="2">
        <v>45141.875</v>
      </c>
      <c r="U169" t="s">
        <v>37</v>
      </c>
      <c r="V169" t="s">
        <v>29</v>
      </c>
      <c r="W169" t="s">
        <v>47</v>
      </c>
      <c r="X169">
        <v>8</v>
      </c>
      <c r="Y169">
        <v>10</v>
      </c>
      <c r="Z169" t="s">
        <v>48</v>
      </c>
    </row>
    <row r="170" spans="1:26">
      <c r="A170" t="s">
        <v>227</v>
      </c>
      <c r="B170">
        <v>62</v>
      </c>
      <c r="C170" t="str">
        <f t="shared" si="10"/>
        <v>51-65</v>
      </c>
      <c r="D170" t="s">
        <v>41</v>
      </c>
      <c r="E170" s="2">
        <v>44959</v>
      </c>
      <c r="F170" s="2" t="str">
        <f t="shared" ca="1" si="11"/>
        <v>No</v>
      </c>
      <c r="G170" s="2" t="str">
        <f t="shared" si="12"/>
        <v>Feb-2023</v>
      </c>
      <c r="H170" s="2">
        <v>44971</v>
      </c>
      <c r="I170">
        <v>12</v>
      </c>
      <c r="J170" t="s">
        <v>57</v>
      </c>
      <c r="K170">
        <v>5</v>
      </c>
      <c r="L170" t="s">
        <v>71</v>
      </c>
      <c r="M170" s="9">
        <v>15082</v>
      </c>
      <c r="N170" t="s">
        <v>67</v>
      </c>
      <c r="O170" t="s">
        <v>54</v>
      </c>
      <c r="P170" t="s">
        <v>27</v>
      </c>
      <c r="Q170" s="2">
        <v>44928</v>
      </c>
      <c r="R170" s="13">
        <f t="shared" si="13"/>
        <v>44699.999999996508</v>
      </c>
      <c r="S170" s="13">
        <f t="shared" si="14"/>
        <v>-217.51503005984728</v>
      </c>
      <c r="T170" s="2">
        <v>44959.041666666664</v>
      </c>
      <c r="U170" t="s">
        <v>37</v>
      </c>
      <c r="V170" t="s">
        <v>29</v>
      </c>
      <c r="W170" t="s">
        <v>43</v>
      </c>
      <c r="X170">
        <v>8</v>
      </c>
      <c r="Y170">
        <v>12</v>
      </c>
      <c r="Z170" t="s">
        <v>68</v>
      </c>
    </row>
    <row r="171" spans="1:26">
      <c r="A171" t="s">
        <v>228</v>
      </c>
      <c r="B171">
        <v>75</v>
      </c>
      <c r="C171" t="str">
        <f t="shared" si="10"/>
        <v>66+</v>
      </c>
      <c r="D171" t="s">
        <v>45</v>
      </c>
      <c r="E171" s="2">
        <v>45058</v>
      </c>
      <c r="F171" s="2" t="str">
        <f t="shared" ca="1" si="11"/>
        <v>No</v>
      </c>
      <c r="G171" s="2" t="str">
        <f t="shared" si="12"/>
        <v>May-2023</v>
      </c>
      <c r="H171" s="2">
        <v>45242</v>
      </c>
      <c r="I171">
        <v>6</v>
      </c>
      <c r="J171" t="s">
        <v>23</v>
      </c>
      <c r="K171">
        <v>3</v>
      </c>
      <c r="L171" t="s">
        <v>71</v>
      </c>
      <c r="M171" s="9">
        <v>42245</v>
      </c>
      <c r="N171" t="s">
        <v>36</v>
      </c>
      <c r="O171" t="s">
        <v>54</v>
      </c>
      <c r="P171" t="s">
        <v>27</v>
      </c>
      <c r="Q171" s="2">
        <v>45260</v>
      </c>
      <c r="R171" s="13">
        <f t="shared" si="13"/>
        <v>1080</v>
      </c>
      <c r="S171" s="13">
        <f t="shared" si="14"/>
        <v>-304.80961923820399</v>
      </c>
      <c r="T171" s="2">
        <v>45260.75</v>
      </c>
      <c r="U171" t="s">
        <v>64</v>
      </c>
      <c r="V171" t="s">
        <v>29</v>
      </c>
      <c r="W171" t="s">
        <v>47</v>
      </c>
      <c r="X171">
        <v>11</v>
      </c>
      <c r="Y171">
        <v>10</v>
      </c>
      <c r="Z171" t="s">
        <v>68</v>
      </c>
    </row>
    <row r="172" spans="1:26">
      <c r="A172" t="s">
        <v>229</v>
      </c>
      <c r="B172">
        <v>89</v>
      </c>
      <c r="C172" t="str">
        <f t="shared" si="10"/>
        <v>66+</v>
      </c>
      <c r="D172" t="s">
        <v>33</v>
      </c>
      <c r="E172" s="2">
        <v>44999</v>
      </c>
      <c r="F172" s="2" t="str">
        <f t="shared" ca="1" si="11"/>
        <v>No</v>
      </c>
      <c r="G172" s="2" t="str">
        <f t="shared" si="12"/>
        <v>Mar-2023</v>
      </c>
      <c r="H172" s="2">
        <v>45006</v>
      </c>
      <c r="I172">
        <v>7</v>
      </c>
      <c r="J172" t="s">
        <v>50</v>
      </c>
      <c r="K172">
        <v>5</v>
      </c>
      <c r="L172" t="s">
        <v>35</v>
      </c>
      <c r="M172" s="9">
        <v>23569</v>
      </c>
      <c r="N172" t="s">
        <v>67</v>
      </c>
      <c r="O172" t="s">
        <v>26</v>
      </c>
      <c r="P172" t="s">
        <v>27</v>
      </c>
      <c r="Q172" s="2">
        <v>45233</v>
      </c>
      <c r="R172" s="13">
        <f t="shared" si="13"/>
        <v>43320.000000003492</v>
      </c>
      <c r="S172" s="13">
        <f t="shared" si="14"/>
        <v>-217.87575150273307</v>
      </c>
      <c r="T172" s="2">
        <v>45263.083333333336</v>
      </c>
      <c r="U172" t="s">
        <v>42</v>
      </c>
      <c r="V172" t="s">
        <v>29</v>
      </c>
      <c r="W172" t="s">
        <v>47</v>
      </c>
      <c r="X172">
        <v>4</v>
      </c>
      <c r="Y172">
        <v>10</v>
      </c>
      <c r="Z172" t="s">
        <v>68</v>
      </c>
    </row>
    <row r="173" spans="1:26">
      <c r="A173" t="s">
        <v>230</v>
      </c>
      <c r="B173">
        <v>62</v>
      </c>
      <c r="C173" t="str">
        <f t="shared" si="10"/>
        <v>51-65</v>
      </c>
      <c r="D173" t="s">
        <v>33</v>
      </c>
      <c r="E173" s="2">
        <v>45571</v>
      </c>
      <c r="F173" s="2" t="str">
        <f t="shared" ca="1" si="11"/>
        <v>No</v>
      </c>
      <c r="G173" s="2" t="str">
        <f t="shared" si="12"/>
        <v>Oct-2024</v>
      </c>
      <c r="H173" s="2">
        <v>45463</v>
      </c>
      <c r="I173">
        <v>10</v>
      </c>
      <c r="J173" t="s">
        <v>50</v>
      </c>
      <c r="K173">
        <v>4</v>
      </c>
      <c r="L173" t="s">
        <v>35</v>
      </c>
      <c r="M173" s="9">
        <v>12086</v>
      </c>
      <c r="N173" t="s">
        <v>36</v>
      </c>
      <c r="O173" t="s">
        <v>54</v>
      </c>
      <c r="P173" t="s">
        <v>27</v>
      </c>
      <c r="Q173" s="2">
        <v>45510</v>
      </c>
      <c r="R173" s="13">
        <f t="shared" si="13"/>
        <v>44640</v>
      </c>
      <c r="S173" s="13">
        <f t="shared" si="14"/>
        <v>-304.4488977953182</v>
      </c>
      <c r="T173" s="2">
        <v>45541</v>
      </c>
      <c r="U173" t="s">
        <v>37</v>
      </c>
      <c r="V173" t="s">
        <v>29</v>
      </c>
      <c r="W173" t="s">
        <v>43</v>
      </c>
      <c r="X173">
        <v>8</v>
      </c>
      <c r="Y173">
        <v>10</v>
      </c>
      <c r="Z173" t="s">
        <v>31</v>
      </c>
    </row>
    <row r="174" spans="1:26">
      <c r="A174" t="s">
        <v>231</v>
      </c>
      <c r="B174">
        <v>1</v>
      </c>
      <c r="C174" t="str">
        <f t="shared" si="10"/>
        <v>0-17</v>
      </c>
      <c r="D174" t="s">
        <v>22</v>
      </c>
      <c r="E174" s="2">
        <v>44935</v>
      </c>
      <c r="F174" s="2" t="str">
        <f t="shared" ca="1" si="11"/>
        <v>No</v>
      </c>
      <c r="G174" s="2" t="str">
        <f t="shared" si="12"/>
        <v>Jan-2023</v>
      </c>
      <c r="H174" s="2">
        <v>45208</v>
      </c>
      <c r="I174">
        <v>9</v>
      </c>
      <c r="J174" t="s">
        <v>50</v>
      </c>
      <c r="K174">
        <v>3</v>
      </c>
      <c r="L174" t="s">
        <v>66</v>
      </c>
      <c r="M174" s="9">
        <v>7317</v>
      </c>
      <c r="N174" t="s">
        <v>25</v>
      </c>
      <c r="O174" t="s">
        <v>26</v>
      </c>
      <c r="P174" t="s">
        <v>27</v>
      </c>
      <c r="Q174" s="2">
        <v>45167</v>
      </c>
      <c r="R174" s="13">
        <f t="shared" si="13"/>
        <v>480.00000000349246</v>
      </c>
      <c r="S174" s="13">
        <f t="shared" si="14"/>
        <v>-388.73747494963385</v>
      </c>
      <c r="T174" s="2">
        <v>45167.333333333336</v>
      </c>
      <c r="U174" t="s">
        <v>64</v>
      </c>
      <c r="V174" t="s">
        <v>38</v>
      </c>
      <c r="W174" t="s">
        <v>43</v>
      </c>
      <c r="X174">
        <v>5</v>
      </c>
      <c r="Y174">
        <v>12</v>
      </c>
      <c r="Z174" t="s">
        <v>31</v>
      </c>
    </row>
    <row r="175" spans="1:26">
      <c r="A175" t="s">
        <v>232</v>
      </c>
      <c r="B175">
        <v>27</v>
      </c>
      <c r="C175" t="str">
        <f t="shared" si="10"/>
        <v>18-35</v>
      </c>
      <c r="D175" t="s">
        <v>52</v>
      </c>
      <c r="E175" s="2">
        <v>45212</v>
      </c>
      <c r="F175" s="2" t="str">
        <f t="shared" ca="1" si="11"/>
        <v>No</v>
      </c>
      <c r="G175" s="2" t="str">
        <f t="shared" si="12"/>
        <v>Oct-2023</v>
      </c>
      <c r="H175" s="2">
        <v>45217</v>
      </c>
      <c r="I175">
        <v>5</v>
      </c>
      <c r="J175" t="s">
        <v>34</v>
      </c>
      <c r="K175">
        <v>3</v>
      </c>
      <c r="L175" t="s">
        <v>71</v>
      </c>
      <c r="M175" s="9">
        <v>41389</v>
      </c>
      <c r="N175" t="s">
        <v>36</v>
      </c>
      <c r="O175" t="s">
        <v>26</v>
      </c>
      <c r="P175" t="s">
        <v>41</v>
      </c>
      <c r="Q175" s="2">
        <v>45212</v>
      </c>
      <c r="R175" s="13">
        <f t="shared" si="13"/>
        <v>2219.9999999965075</v>
      </c>
      <c r="S175" s="13">
        <f t="shared" si="14"/>
        <v>-387.29458917809075</v>
      </c>
      <c r="T175" s="2">
        <v>45213.541666666664</v>
      </c>
      <c r="U175" t="s">
        <v>55</v>
      </c>
      <c r="V175" t="s">
        <v>38</v>
      </c>
      <c r="W175" t="s">
        <v>43</v>
      </c>
      <c r="X175">
        <v>11</v>
      </c>
      <c r="Y175">
        <v>12</v>
      </c>
      <c r="Z175" t="s">
        <v>48</v>
      </c>
    </row>
    <row r="176" spans="1:26">
      <c r="A176" t="s">
        <v>233</v>
      </c>
      <c r="B176">
        <v>62</v>
      </c>
      <c r="C176" t="str">
        <f t="shared" si="10"/>
        <v>51-65</v>
      </c>
      <c r="D176" t="s">
        <v>45</v>
      </c>
      <c r="E176" s="2">
        <v>45631</v>
      </c>
      <c r="F176" s="2" t="str">
        <f t="shared" ca="1" si="11"/>
        <v>No</v>
      </c>
      <c r="G176" s="2" t="str">
        <f t="shared" si="12"/>
        <v>Dec-2024</v>
      </c>
      <c r="H176" s="2">
        <v>45432</v>
      </c>
      <c r="I176">
        <v>8</v>
      </c>
      <c r="J176" t="s">
        <v>63</v>
      </c>
      <c r="K176">
        <v>3</v>
      </c>
      <c r="L176" t="s">
        <v>46</v>
      </c>
      <c r="M176" s="9">
        <v>9491</v>
      </c>
      <c r="N176" t="s">
        <v>36</v>
      </c>
      <c r="O176" t="s">
        <v>26</v>
      </c>
      <c r="P176" t="s">
        <v>41</v>
      </c>
      <c r="Q176" s="2">
        <v>45478</v>
      </c>
      <c r="R176" s="13">
        <f t="shared" si="13"/>
        <v>779.99999999650754</v>
      </c>
      <c r="S176" s="13">
        <f t="shared" si="14"/>
        <v>-390.060120240201</v>
      </c>
      <c r="T176" s="2">
        <v>45478.541666666664</v>
      </c>
      <c r="U176" t="s">
        <v>55</v>
      </c>
      <c r="V176" t="s">
        <v>38</v>
      </c>
      <c r="W176" t="s">
        <v>43</v>
      </c>
      <c r="X176">
        <v>10</v>
      </c>
      <c r="Y176">
        <v>12</v>
      </c>
      <c r="Z176" t="s">
        <v>48</v>
      </c>
    </row>
    <row r="177" spans="1:26">
      <c r="A177" t="s">
        <v>234</v>
      </c>
      <c r="B177">
        <v>77</v>
      </c>
      <c r="C177" t="str">
        <f t="shared" si="10"/>
        <v>66+</v>
      </c>
      <c r="D177" t="s">
        <v>33</v>
      </c>
      <c r="E177" s="2">
        <v>45146</v>
      </c>
      <c r="F177" s="2" t="str">
        <f t="shared" ca="1" si="11"/>
        <v>No</v>
      </c>
      <c r="G177" s="2" t="str">
        <f t="shared" si="12"/>
        <v>Aug-2023</v>
      </c>
      <c r="H177" s="2">
        <v>45155</v>
      </c>
      <c r="I177">
        <v>9</v>
      </c>
      <c r="J177" t="s">
        <v>50</v>
      </c>
      <c r="K177">
        <v>4</v>
      </c>
      <c r="L177" t="s">
        <v>24</v>
      </c>
      <c r="M177" s="9">
        <v>20916</v>
      </c>
      <c r="N177" t="s">
        <v>53</v>
      </c>
      <c r="O177" t="s">
        <v>54</v>
      </c>
      <c r="P177" t="s">
        <v>27</v>
      </c>
      <c r="Q177" s="2">
        <v>45146</v>
      </c>
      <c r="R177" s="13">
        <f t="shared" si="13"/>
        <v>45480.000000003492</v>
      </c>
      <c r="S177" s="13">
        <f t="shared" si="14"/>
        <v>-387.53507014000058</v>
      </c>
      <c r="T177" s="2">
        <v>45177.583333333336</v>
      </c>
      <c r="U177" t="s">
        <v>55</v>
      </c>
      <c r="V177" t="s">
        <v>29</v>
      </c>
      <c r="W177" t="s">
        <v>30</v>
      </c>
      <c r="X177">
        <v>5</v>
      </c>
      <c r="Y177">
        <v>8</v>
      </c>
      <c r="Z177" t="s">
        <v>48</v>
      </c>
    </row>
    <row r="178" spans="1:26">
      <c r="A178" t="s">
        <v>235</v>
      </c>
      <c r="B178">
        <v>3</v>
      </c>
      <c r="C178" t="str">
        <f t="shared" si="10"/>
        <v>0-17</v>
      </c>
      <c r="D178" t="s">
        <v>22</v>
      </c>
      <c r="E178" s="2">
        <v>45062</v>
      </c>
      <c r="F178" s="2" t="str">
        <f t="shared" ca="1" si="11"/>
        <v>No</v>
      </c>
      <c r="G178" s="2" t="str">
        <f t="shared" si="12"/>
        <v>May-2023</v>
      </c>
      <c r="H178" s="2">
        <v>45072</v>
      </c>
      <c r="I178">
        <v>10</v>
      </c>
      <c r="J178" t="s">
        <v>50</v>
      </c>
      <c r="K178">
        <v>1</v>
      </c>
      <c r="L178" t="s">
        <v>66</v>
      </c>
      <c r="M178" s="9">
        <v>20248</v>
      </c>
      <c r="N178" t="s">
        <v>25</v>
      </c>
      <c r="O178" t="s">
        <v>54</v>
      </c>
      <c r="P178" t="s">
        <v>27</v>
      </c>
      <c r="Q178" s="2">
        <v>45061</v>
      </c>
      <c r="R178" s="13">
        <f t="shared" si="13"/>
        <v>2100.0000000034925</v>
      </c>
      <c r="S178" s="13">
        <f t="shared" si="14"/>
        <v>-473.98797595163086</v>
      </c>
      <c r="T178" s="2">
        <v>45062.458333333336</v>
      </c>
      <c r="U178" t="s">
        <v>28</v>
      </c>
      <c r="V178" t="s">
        <v>29</v>
      </c>
      <c r="W178" t="s">
        <v>30</v>
      </c>
      <c r="X178">
        <v>5</v>
      </c>
      <c r="Y178">
        <v>12</v>
      </c>
      <c r="Z178" t="s">
        <v>31</v>
      </c>
    </row>
    <row r="179" spans="1:26">
      <c r="A179" t="s">
        <v>236</v>
      </c>
      <c r="B179">
        <v>70</v>
      </c>
      <c r="C179" t="str">
        <f t="shared" si="10"/>
        <v>66+</v>
      </c>
      <c r="D179" t="s">
        <v>33</v>
      </c>
      <c r="E179" s="2">
        <v>45411</v>
      </c>
      <c r="F179" s="2" t="str">
        <f t="shared" ca="1" si="11"/>
        <v>No</v>
      </c>
      <c r="G179" s="2" t="str">
        <f t="shared" si="12"/>
        <v>Apr-2024</v>
      </c>
      <c r="H179" s="2">
        <v>45448</v>
      </c>
      <c r="I179">
        <v>7</v>
      </c>
      <c r="J179" t="s">
        <v>40</v>
      </c>
      <c r="K179">
        <v>5</v>
      </c>
      <c r="L179" t="s">
        <v>35</v>
      </c>
      <c r="M179" s="9">
        <v>7511</v>
      </c>
      <c r="N179" t="s">
        <v>60</v>
      </c>
      <c r="O179" t="s">
        <v>26</v>
      </c>
      <c r="P179" t="s">
        <v>27</v>
      </c>
      <c r="Q179" s="2">
        <v>45408</v>
      </c>
      <c r="R179" s="13">
        <f t="shared" si="13"/>
        <v>720</v>
      </c>
      <c r="S179" s="13">
        <f t="shared" si="14"/>
        <v>-387.65531062097654</v>
      </c>
      <c r="T179" s="2">
        <v>45408.5</v>
      </c>
      <c r="U179" t="s">
        <v>42</v>
      </c>
      <c r="V179" t="s">
        <v>29</v>
      </c>
      <c r="W179" t="s">
        <v>47</v>
      </c>
      <c r="X179">
        <v>9</v>
      </c>
      <c r="Y179">
        <v>10</v>
      </c>
      <c r="Z179" t="s">
        <v>68</v>
      </c>
    </row>
    <row r="180" spans="1:26">
      <c r="A180" t="s">
        <v>237</v>
      </c>
      <c r="B180">
        <v>72</v>
      </c>
      <c r="C180" t="str">
        <f t="shared" si="10"/>
        <v>66+</v>
      </c>
      <c r="D180" t="s">
        <v>45</v>
      </c>
      <c r="E180" s="2">
        <v>45086</v>
      </c>
      <c r="F180" s="2" t="str">
        <f t="shared" ca="1" si="11"/>
        <v>No</v>
      </c>
      <c r="G180" s="2" t="str">
        <f t="shared" si="12"/>
        <v>Jun-2023</v>
      </c>
      <c r="H180" s="2">
        <v>45147</v>
      </c>
      <c r="I180">
        <v>2</v>
      </c>
      <c r="J180" t="s">
        <v>34</v>
      </c>
      <c r="K180">
        <v>3</v>
      </c>
      <c r="L180" t="s">
        <v>66</v>
      </c>
      <c r="M180" s="9">
        <v>29226</v>
      </c>
      <c r="N180" t="s">
        <v>53</v>
      </c>
      <c r="O180" t="s">
        <v>54</v>
      </c>
      <c r="P180" t="s">
        <v>41</v>
      </c>
      <c r="Q180" s="2">
        <v>44994</v>
      </c>
      <c r="R180" s="13">
        <f t="shared" si="13"/>
        <v>45840.000000003492</v>
      </c>
      <c r="S180" s="13">
        <f t="shared" si="14"/>
        <v>-387.53507014002162</v>
      </c>
      <c r="T180" s="2">
        <v>45025.833333333336</v>
      </c>
      <c r="U180" t="s">
        <v>64</v>
      </c>
      <c r="V180" t="s">
        <v>29</v>
      </c>
      <c r="W180" t="s">
        <v>47</v>
      </c>
      <c r="X180">
        <v>7</v>
      </c>
      <c r="Y180">
        <v>12</v>
      </c>
      <c r="Z180" t="s">
        <v>68</v>
      </c>
    </row>
    <row r="181" spans="1:26">
      <c r="A181" t="s">
        <v>238</v>
      </c>
      <c r="B181">
        <v>27</v>
      </c>
      <c r="C181" t="str">
        <f t="shared" si="10"/>
        <v>18-35</v>
      </c>
      <c r="D181" t="s">
        <v>45</v>
      </c>
      <c r="E181" s="2">
        <v>45411</v>
      </c>
      <c r="F181" s="2" t="str">
        <f t="shared" ca="1" si="11"/>
        <v>No</v>
      </c>
      <c r="G181" s="2" t="str">
        <f t="shared" si="12"/>
        <v>Apr-2024</v>
      </c>
      <c r="H181" s="2">
        <v>45631</v>
      </c>
      <c r="I181">
        <v>13</v>
      </c>
      <c r="J181" t="s">
        <v>23</v>
      </c>
      <c r="K181">
        <v>4</v>
      </c>
      <c r="L181" t="s">
        <v>66</v>
      </c>
      <c r="M181" s="9">
        <v>30025</v>
      </c>
      <c r="N181" t="s">
        <v>60</v>
      </c>
      <c r="O181" t="s">
        <v>26</v>
      </c>
      <c r="P181" t="s">
        <v>41</v>
      </c>
      <c r="Q181" s="2">
        <v>45408</v>
      </c>
      <c r="R181" s="13">
        <f t="shared" si="13"/>
        <v>2160</v>
      </c>
      <c r="S181" s="13">
        <f t="shared" si="14"/>
        <v>-473.6272545087661</v>
      </c>
      <c r="T181" s="2">
        <v>45409.5</v>
      </c>
      <c r="U181" t="s">
        <v>42</v>
      </c>
      <c r="V181" t="s">
        <v>29</v>
      </c>
      <c r="W181" t="s">
        <v>47</v>
      </c>
      <c r="X181">
        <v>4</v>
      </c>
      <c r="Y181">
        <v>12</v>
      </c>
      <c r="Z181" t="s">
        <v>31</v>
      </c>
    </row>
    <row r="182" spans="1:26">
      <c r="A182" t="s">
        <v>239</v>
      </c>
      <c r="B182">
        <v>9</v>
      </c>
      <c r="C182" t="str">
        <f t="shared" si="10"/>
        <v>0-17</v>
      </c>
      <c r="D182" t="s">
        <v>62</v>
      </c>
      <c r="E182" s="2">
        <v>45343</v>
      </c>
      <c r="F182" s="2" t="str">
        <f t="shared" ca="1" si="11"/>
        <v>No</v>
      </c>
      <c r="G182" s="2" t="str">
        <f t="shared" si="12"/>
        <v>Feb-2024</v>
      </c>
      <c r="H182" s="2">
        <v>45385</v>
      </c>
      <c r="I182">
        <v>12</v>
      </c>
      <c r="J182" t="s">
        <v>50</v>
      </c>
      <c r="K182">
        <v>1</v>
      </c>
      <c r="L182" t="s">
        <v>66</v>
      </c>
      <c r="M182" s="9">
        <v>47314</v>
      </c>
      <c r="N182" t="s">
        <v>67</v>
      </c>
      <c r="O182" t="s">
        <v>26</v>
      </c>
      <c r="P182" t="s">
        <v>27</v>
      </c>
      <c r="Q182" s="2">
        <v>45340</v>
      </c>
      <c r="R182" s="13">
        <f t="shared" si="13"/>
        <v>120.00000000349246</v>
      </c>
      <c r="S182" s="13">
        <f t="shared" si="14"/>
        <v>-812.46492985946043</v>
      </c>
      <c r="T182" s="2">
        <v>45340.083333333336</v>
      </c>
      <c r="U182" t="s">
        <v>28</v>
      </c>
      <c r="V182" t="s">
        <v>29</v>
      </c>
      <c r="W182" t="s">
        <v>30</v>
      </c>
      <c r="X182">
        <v>10</v>
      </c>
      <c r="Y182">
        <v>10</v>
      </c>
      <c r="Z182" t="s">
        <v>48</v>
      </c>
    </row>
    <row r="183" spans="1:26">
      <c r="A183" t="s">
        <v>240</v>
      </c>
      <c r="B183">
        <v>62</v>
      </c>
      <c r="C183" t="str">
        <f t="shared" si="10"/>
        <v>51-65</v>
      </c>
      <c r="D183" t="s">
        <v>41</v>
      </c>
      <c r="E183" s="2">
        <v>45121</v>
      </c>
      <c r="F183" s="2" t="str">
        <f t="shared" ca="1" si="11"/>
        <v>No</v>
      </c>
      <c r="G183" s="2" t="str">
        <f t="shared" si="12"/>
        <v>Jul-2023</v>
      </c>
      <c r="H183" s="2">
        <v>45123</v>
      </c>
      <c r="I183">
        <v>2</v>
      </c>
      <c r="J183" t="s">
        <v>40</v>
      </c>
      <c r="K183">
        <v>5</v>
      </c>
      <c r="L183" t="s">
        <v>66</v>
      </c>
      <c r="M183" s="9">
        <v>12848</v>
      </c>
      <c r="N183" t="s">
        <v>60</v>
      </c>
      <c r="O183" t="s">
        <v>54</v>
      </c>
      <c r="P183" t="s">
        <v>41</v>
      </c>
      <c r="Q183" s="2">
        <v>45120</v>
      </c>
      <c r="R183" s="13">
        <f t="shared" si="13"/>
        <v>2820.0000000034925</v>
      </c>
      <c r="S183" s="13">
        <f t="shared" si="14"/>
        <v>-810.42084168312181</v>
      </c>
      <c r="T183" s="2">
        <v>45121.958333333336</v>
      </c>
      <c r="U183" t="s">
        <v>64</v>
      </c>
      <c r="V183" t="s">
        <v>38</v>
      </c>
      <c r="W183" t="s">
        <v>47</v>
      </c>
      <c r="X183">
        <v>11</v>
      </c>
      <c r="Y183">
        <v>12</v>
      </c>
      <c r="Z183" t="s">
        <v>48</v>
      </c>
    </row>
    <row r="184" spans="1:26">
      <c r="A184" t="s">
        <v>241</v>
      </c>
      <c r="B184">
        <v>37</v>
      </c>
      <c r="C184" t="str">
        <f t="shared" si="10"/>
        <v>36-50</v>
      </c>
      <c r="D184" t="s">
        <v>41</v>
      </c>
      <c r="E184" s="2">
        <v>45111</v>
      </c>
      <c r="F184" s="2" t="str">
        <f t="shared" ca="1" si="11"/>
        <v>No</v>
      </c>
      <c r="G184" s="2" t="str">
        <f t="shared" si="12"/>
        <v>Jul-2023</v>
      </c>
      <c r="H184" s="2">
        <v>45037</v>
      </c>
      <c r="I184">
        <v>14</v>
      </c>
      <c r="J184" t="s">
        <v>57</v>
      </c>
      <c r="K184">
        <v>4</v>
      </c>
      <c r="L184" t="s">
        <v>24</v>
      </c>
      <c r="M184" s="9">
        <v>19274</v>
      </c>
      <c r="N184" t="s">
        <v>36</v>
      </c>
      <c r="O184" t="s">
        <v>26</v>
      </c>
      <c r="P184" t="s">
        <v>27</v>
      </c>
      <c r="Q184" s="2">
        <v>45050</v>
      </c>
      <c r="R184" s="13">
        <f t="shared" si="13"/>
        <v>45000</v>
      </c>
      <c r="S184" s="13">
        <f t="shared" si="14"/>
        <v>-724.44889779535322</v>
      </c>
      <c r="T184" s="2">
        <v>45081.25</v>
      </c>
      <c r="U184" t="s">
        <v>64</v>
      </c>
      <c r="V184" t="s">
        <v>29</v>
      </c>
      <c r="W184" t="s">
        <v>47</v>
      </c>
      <c r="X184">
        <v>8</v>
      </c>
      <c r="Y184">
        <v>8</v>
      </c>
      <c r="Z184" t="s">
        <v>48</v>
      </c>
    </row>
    <row r="185" spans="1:26">
      <c r="A185" t="s">
        <v>242</v>
      </c>
      <c r="B185">
        <v>51</v>
      </c>
      <c r="C185" t="str">
        <f t="shared" si="10"/>
        <v>51-65</v>
      </c>
      <c r="D185" t="s">
        <v>22</v>
      </c>
      <c r="E185" s="2">
        <v>45203</v>
      </c>
      <c r="F185" s="2" t="str">
        <f t="shared" ca="1" si="11"/>
        <v>No</v>
      </c>
      <c r="G185" s="2" t="str">
        <f t="shared" si="12"/>
        <v>Oct-2023</v>
      </c>
      <c r="H185" s="2">
        <v>45037</v>
      </c>
      <c r="I185">
        <v>11</v>
      </c>
      <c r="J185" t="s">
        <v>23</v>
      </c>
      <c r="K185">
        <v>5</v>
      </c>
      <c r="L185" t="s">
        <v>71</v>
      </c>
      <c r="M185" s="9">
        <v>35958</v>
      </c>
      <c r="N185" t="s">
        <v>60</v>
      </c>
      <c r="O185" t="s">
        <v>54</v>
      </c>
      <c r="P185" t="s">
        <v>41</v>
      </c>
      <c r="Q185" s="2">
        <v>45081</v>
      </c>
      <c r="R185" s="13">
        <f t="shared" si="13"/>
        <v>44519.999999996508</v>
      </c>
      <c r="S185" s="13">
        <f t="shared" si="14"/>
        <v>-814.14829659295538</v>
      </c>
      <c r="T185" s="2">
        <v>45111.916666666664</v>
      </c>
      <c r="U185" t="s">
        <v>37</v>
      </c>
      <c r="V185" t="s">
        <v>38</v>
      </c>
      <c r="W185" t="s">
        <v>30</v>
      </c>
      <c r="X185">
        <v>5</v>
      </c>
      <c r="Y185">
        <v>12</v>
      </c>
      <c r="Z185" t="s">
        <v>31</v>
      </c>
    </row>
    <row r="186" spans="1:26">
      <c r="A186" t="s">
        <v>243</v>
      </c>
      <c r="B186">
        <v>44</v>
      </c>
      <c r="C186" t="str">
        <f t="shared" si="10"/>
        <v>36-50</v>
      </c>
      <c r="D186" t="s">
        <v>45</v>
      </c>
      <c r="E186" s="2">
        <v>45368</v>
      </c>
      <c r="F186" s="2" t="str">
        <f t="shared" ca="1" si="11"/>
        <v>No</v>
      </c>
      <c r="G186" s="2" t="str">
        <f t="shared" si="12"/>
        <v>Mar-2024</v>
      </c>
      <c r="H186" s="2">
        <v>45379</v>
      </c>
      <c r="I186">
        <v>11</v>
      </c>
      <c r="J186" t="s">
        <v>50</v>
      </c>
      <c r="K186">
        <v>3</v>
      </c>
      <c r="L186" t="s">
        <v>46</v>
      </c>
      <c r="M186" s="9">
        <v>40233</v>
      </c>
      <c r="N186" t="s">
        <v>53</v>
      </c>
      <c r="O186" t="s">
        <v>54</v>
      </c>
      <c r="P186" t="s">
        <v>27</v>
      </c>
      <c r="Q186" s="2">
        <v>45367</v>
      </c>
      <c r="R186" s="13">
        <f t="shared" si="13"/>
        <v>840.00000000349246</v>
      </c>
      <c r="S186" s="13">
        <f t="shared" si="14"/>
        <v>-901.44288577131215</v>
      </c>
      <c r="T186" s="2">
        <v>45367.583333333336</v>
      </c>
      <c r="U186" t="s">
        <v>42</v>
      </c>
      <c r="V186" t="s">
        <v>29</v>
      </c>
      <c r="W186" t="s">
        <v>47</v>
      </c>
      <c r="X186">
        <v>11</v>
      </c>
      <c r="Y186">
        <v>8</v>
      </c>
      <c r="Z186" t="s">
        <v>48</v>
      </c>
    </row>
    <row r="187" spans="1:26">
      <c r="A187" t="s">
        <v>244</v>
      </c>
      <c r="B187">
        <v>24</v>
      </c>
      <c r="C187" t="str">
        <f t="shared" si="10"/>
        <v>18-35</v>
      </c>
      <c r="D187" t="s">
        <v>62</v>
      </c>
      <c r="E187" s="2">
        <v>45289</v>
      </c>
      <c r="F187" s="2" t="str">
        <f t="shared" ca="1" si="11"/>
        <v>No</v>
      </c>
      <c r="G187" s="2" t="str">
        <f t="shared" si="12"/>
        <v>Dec-2023</v>
      </c>
      <c r="H187" s="2">
        <v>45304</v>
      </c>
      <c r="I187">
        <v>15</v>
      </c>
      <c r="J187" t="s">
        <v>50</v>
      </c>
      <c r="K187">
        <v>1</v>
      </c>
      <c r="L187" t="s">
        <v>66</v>
      </c>
      <c r="M187" s="9">
        <v>21304</v>
      </c>
      <c r="N187" t="s">
        <v>53</v>
      </c>
      <c r="O187" t="s">
        <v>26</v>
      </c>
      <c r="P187" t="s">
        <v>27</v>
      </c>
      <c r="Q187" s="2">
        <v>45287</v>
      </c>
      <c r="R187" s="13">
        <f t="shared" si="13"/>
        <v>1740.0000000034925</v>
      </c>
      <c r="S187" s="13">
        <f t="shared" si="14"/>
        <v>-899.27855711399752</v>
      </c>
      <c r="T187" s="2">
        <v>45288.208333333336</v>
      </c>
      <c r="U187" t="s">
        <v>42</v>
      </c>
      <c r="V187" t="s">
        <v>29</v>
      </c>
      <c r="W187" t="s">
        <v>30</v>
      </c>
      <c r="X187">
        <v>4</v>
      </c>
      <c r="Y187">
        <v>8</v>
      </c>
      <c r="Z187" t="s">
        <v>48</v>
      </c>
    </row>
    <row r="188" spans="1:26">
      <c r="A188" t="s">
        <v>245</v>
      </c>
      <c r="B188">
        <v>79</v>
      </c>
      <c r="C188" t="str">
        <f t="shared" si="10"/>
        <v>66+</v>
      </c>
      <c r="D188" t="s">
        <v>62</v>
      </c>
      <c r="E188" s="2">
        <v>45538</v>
      </c>
      <c r="F188" s="2" t="str">
        <f t="shared" ca="1" si="11"/>
        <v>No</v>
      </c>
      <c r="G188" s="2" t="str">
        <f t="shared" si="12"/>
        <v>Sep-2024</v>
      </c>
      <c r="H188" s="2">
        <v>45373</v>
      </c>
      <c r="I188">
        <v>13</v>
      </c>
      <c r="J188" t="s">
        <v>40</v>
      </c>
      <c r="K188">
        <v>4</v>
      </c>
      <c r="L188" t="s">
        <v>66</v>
      </c>
      <c r="M188" s="9">
        <v>16294</v>
      </c>
      <c r="N188" t="s">
        <v>60</v>
      </c>
      <c r="O188" t="s">
        <v>26</v>
      </c>
      <c r="P188" t="s">
        <v>41</v>
      </c>
      <c r="Q188" s="2">
        <v>45385</v>
      </c>
      <c r="R188" s="13">
        <f t="shared" si="13"/>
        <v>1139.9999999965075</v>
      </c>
      <c r="S188" s="13">
        <f t="shared" si="14"/>
        <v>-899.75951903785915</v>
      </c>
      <c r="T188" s="2">
        <v>45385.791666666664</v>
      </c>
      <c r="U188" t="s">
        <v>37</v>
      </c>
      <c r="V188" t="s">
        <v>29</v>
      </c>
      <c r="W188" t="s">
        <v>30</v>
      </c>
      <c r="X188">
        <v>10</v>
      </c>
      <c r="Y188">
        <v>8</v>
      </c>
      <c r="Z188" t="s">
        <v>31</v>
      </c>
    </row>
    <row r="189" spans="1:26">
      <c r="A189" t="s">
        <v>246</v>
      </c>
      <c r="B189">
        <v>59</v>
      </c>
      <c r="C189" t="str">
        <f t="shared" si="10"/>
        <v>51-65</v>
      </c>
      <c r="D189" t="s">
        <v>33</v>
      </c>
      <c r="E189" s="2">
        <v>45347</v>
      </c>
      <c r="F189" s="2" t="str">
        <f t="shared" ca="1" si="11"/>
        <v>No</v>
      </c>
      <c r="G189" s="2" t="str">
        <f t="shared" si="12"/>
        <v>Feb-2024</v>
      </c>
      <c r="H189" s="2">
        <v>45415</v>
      </c>
      <c r="I189">
        <v>9</v>
      </c>
      <c r="J189" t="s">
        <v>34</v>
      </c>
      <c r="K189">
        <v>1</v>
      </c>
      <c r="L189" t="s">
        <v>66</v>
      </c>
      <c r="M189" s="9">
        <v>31425</v>
      </c>
      <c r="N189" t="s">
        <v>53</v>
      </c>
      <c r="O189" t="s">
        <v>54</v>
      </c>
      <c r="P189" t="s">
        <v>27</v>
      </c>
      <c r="Q189" s="2">
        <v>45345</v>
      </c>
      <c r="R189" s="13">
        <f t="shared" si="13"/>
        <v>2700</v>
      </c>
      <c r="S189" s="13">
        <f t="shared" si="14"/>
        <v>-901.0821643284263</v>
      </c>
      <c r="T189" s="2">
        <v>45346.875</v>
      </c>
      <c r="U189" t="s">
        <v>55</v>
      </c>
      <c r="V189" t="s">
        <v>29</v>
      </c>
      <c r="W189" t="s">
        <v>43</v>
      </c>
      <c r="X189">
        <v>10</v>
      </c>
      <c r="Y189">
        <v>10</v>
      </c>
      <c r="Z189" t="s">
        <v>68</v>
      </c>
    </row>
    <row r="190" spans="1:26">
      <c r="A190" t="s">
        <v>247</v>
      </c>
      <c r="B190">
        <v>32</v>
      </c>
      <c r="C190" t="str">
        <f t="shared" si="10"/>
        <v>18-35</v>
      </c>
      <c r="D190" t="s">
        <v>33</v>
      </c>
      <c r="E190" s="2">
        <v>45405</v>
      </c>
      <c r="F190" s="2" t="str">
        <f t="shared" ca="1" si="11"/>
        <v>No</v>
      </c>
      <c r="G190" s="2" t="str">
        <f t="shared" si="12"/>
        <v>Apr-2024</v>
      </c>
      <c r="H190" s="2">
        <v>45417</v>
      </c>
      <c r="I190">
        <v>12</v>
      </c>
      <c r="J190" t="s">
        <v>50</v>
      </c>
      <c r="K190">
        <v>3</v>
      </c>
      <c r="L190" t="s">
        <v>71</v>
      </c>
      <c r="M190" s="9">
        <v>8175</v>
      </c>
      <c r="N190" t="s">
        <v>53</v>
      </c>
      <c r="O190" t="s">
        <v>26</v>
      </c>
      <c r="P190" t="s">
        <v>41</v>
      </c>
      <c r="Q190" s="2">
        <v>45400</v>
      </c>
      <c r="R190" s="13">
        <f t="shared" si="13"/>
        <v>300.00000000349246</v>
      </c>
      <c r="S190" s="13">
        <f t="shared" si="14"/>
        <v>-904.56913827632911</v>
      </c>
      <c r="T190" s="2">
        <v>45400.208333333336</v>
      </c>
      <c r="U190" t="s">
        <v>28</v>
      </c>
      <c r="V190" t="s">
        <v>29</v>
      </c>
      <c r="W190" t="s">
        <v>43</v>
      </c>
      <c r="X190">
        <v>4</v>
      </c>
      <c r="Y190">
        <v>12</v>
      </c>
      <c r="Z190" t="s">
        <v>31</v>
      </c>
    </row>
    <row r="191" spans="1:26">
      <c r="A191" t="s">
        <v>248</v>
      </c>
      <c r="B191">
        <v>88</v>
      </c>
      <c r="C191" t="str">
        <f t="shared" si="10"/>
        <v>66+</v>
      </c>
      <c r="D191" t="s">
        <v>62</v>
      </c>
      <c r="E191" s="2">
        <v>44982</v>
      </c>
      <c r="F191" s="2" t="str">
        <f t="shared" ca="1" si="11"/>
        <v>No</v>
      </c>
      <c r="G191" s="2" t="str">
        <f t="shared" si="12"/>
        <v>Feb-2023</v>
      </c>
      <c r="H191" s="2">
        <v>45233</v>
      </c>
      <c r="I191">
        <v>14</v>
      </c>
      <c r="J191" t="s">
        <v>57</v>
      </c>
      <c r="K191">
        <v>1</v>
      </c>
      <c r="L191" t="s">
        <v>35</v>
      </c>
      <c r="M191" s="9">
        <v>45617</v>
      </c>
      <c r="N191" t="s">
        <v>60</v>
      </c>
      <c r="O191" t="s">
        <v>54</v>
      </c>
      <c r="P191" t="s">
        <v>27</v>
      </c>
      <c r="Q191" s="2">
        <v>44980</v>
      </c>
      <c r="R191" s="13">
        <f t="shared" si="13"/>
        <v>1620</v>
      </c>
      <c r="S191" s="13">
        <f t="shared" si="14"/>
        <v>-814.74949899777198</v>
      </c>
      <c r="T191" s="2">
        <v>44981.125</v>
      </c>
      <c r="U191" t="s">
        <v>42</v>
      </c>
      <c r="V191" t="s">
        <v>29</v>
      </c>
      <c r="W191" t="s">
        <v>30</v>
      </c>
      <c r="X191">
        <v>7</v>
      </c>
      <c r="Y191">
        <v>8</v>
      </c>
      <c r="Z191" t="s">
        <v>31</v>
      </c>
    </row>
    <row r="192" spans="1:26">
      <c r="A192" t="s">
        <v>249</v>
      </c>
      <c r="B192">
        <v>52</v>
      </c>
      <c r="C192" t="str">
        <f t="shared" si="10"/>
        <v>51-65</v>
      </c>
      <c r="D192" t="s">
        <v>33</v>
      </c>
      <c r="E192" s="2">
        <v>45234</v>
      </c>
      <c r="F192" s="2" t="str">
        <f t="shared" ca="1" si="11"/>
        <v>No</v>
      </c>
      <c r="G192" s="2" t="str">
        <f t="shared" si="12"/>
        <v>Nov-2023</v>
      </c>
      <c r="H192" s="2">
        <v>45031</v>
      </c>
      <c r="I192">
        <v>4</v>
      </c>
      <c r="J192" t="s">
        <v>50</v>
      </c>
      <c r="K192">
        <v>1</v>
      </c>
      <c r="L192" t="s">
        <v>35</v>
      </c>
      <c r="M192" s="9">
        <v>32775</v>
      </c>
      <c r="N192" t="s">
        <v>25</v>
      </c>
      <c r="O192" t="s">
        <v>54</v>
      </c>
      <c r="P192" t="s">
        <v>27</v>
      </c>
      <c r="Q192" s="2">
        <v>45142</v>
      </c>
      <c r="R192" s="13">
        <f t="shared" si="13"/>
        <v>45840.000000003492</v>
      </c>
      <c r="S192" s="13">
        <f t="shared" si="14"/>
        <v>-813.06613226429806</v>
      </c>
      <c r="T192" s="2">
        <v>45173.833333333336</v>
      </c>
      <c r="U192" t="s">
        <v>37</v>
      </c>
      <c r="V192" t="s">
        <v>29</v>
      </c>
      <c r="W192" t="s">
        <v>30</v>
      </c>
      <c r="X192">
        <v>9</v>
      </c>
      <c r="Y192">
        <v>8</v>
      </c>
      <c r="Z192" t="s">
        <v>31</v>
      </c>
    </row>
    <row r="193" spans="1:26">
      <c r="A193" t="s">
        <v>250</v>
      </c>
      <c r="B193">
        <v>62</v>
      </c>
      <c r="C193" t="str">
        <f t="shared" si="10"/>
        <v>51-65</v>
      </c>
      <c r="D193" t="s">
        <v>45</v>
      </c>
      <c r="E193" s="2">
        <v>45019</v>
      </c>
      <c r="F193" s="2" t="str">
        <f t="shared" ca="1" si="11"/>
        <v>No</v>
      </c>
      <c r="G193" s="2" t="str">
        <f t="shared" si="12"/>
        <v>Apr-2023</v>
      </c>
      <c r="H193" s="2">
        <v>45233</v>
      </c>
      <c r="I193">
        <v>7</v>
      </c>
      <c r="J193" t="s">
        <v>57</v>
      </c>
      <c r="K193">
        <v>2</v>
      </c>
      <c r="L193" t="s">
        <v>24</v>
      </c>
      <c r="M193" s="9">
        <v>14425</v>
      </c>
      <c r="N193" t="s">
        <v>25</v>
      </c>
      <c r="O193" t="s">
        <v>54</v>
      </c>
      <c r="P193" t="s">
        <v>27</v>
      </c>
      <c r="Q193" s="2">
        <v>44988</v>
      </c>
      <c r="R193" s="13">
        <f t="shared" si="13"/>
        <v>45120.000000003492</v>
      </c>
      <c r="S193" s="13">
        <f t="shared" si="14"/>
        <v>-816.55310621220087</v>
      </c>
      <c r="T193" s="2">
        <v>45019.333333333336</v>
      </c>
      <c r="U193" t="s">
        <v>64</v>
      </c>
      <c r="V193" t="s">
        <v>29</v>
      </c>
      <c r="W193" t="s">
        <v>43</v>
      </c>
      <c r="X193">
        <v>8</v>
      </c>
      <c r="Y193">
        <v>12</v>
      </c>
      <c r="Z193" t="s">
        <v>31</v>
      </c>
    </row>
    <row r="194" spans="1:26">
      <c r="A194" t="s">
        <v>251</v>
      </c>
      <c r="B194">
        <v>58</v>
      </c>
      <c r="C194" t="str">
        <f t="shared" si="10"/>
        <v>51-65</v>
      </c>
      <c r="D194" t="s">
        <v>52</v>
      </c>
      <c r="E194" s="2">
        <v>45339</v>
      </c>
      <c r="F194" s="2" t="str">
        <f t="shared" ca="1" si="11"/>
        <v>No</v>
      </c>
      <c r="G194" s="2" t="str">
        <f t="shared" si="12"/>
        <v>Feb-2024</v>
      </c>
      <c r="H194" s="2">
        <v>45347</v>
      </c>
      <c r="I194">
        <v>8</v>
      </c>
      <c r="J194" t="s">
        <v>23</v>
      </c>
      <c r="K194">
        <v>1</v>
      </c>
      <c r="L194" t="s">
        <v>35</v>
      </c>
      <c r="M194" s="9">
        <v>31013</v>
      </c>
      <c r="N194" t="s">
        <v>67</v>
      </c>
      <c r="O194" t="s">
        <v>26</v>
      </c>
      <c r="P194" t="s">
        <v>27</v>
      </c>
      <c r="Q194" s="2">
        <v>45337</v>
      </c>
      <c r="R194" s="13">
        <f t="shared" si="13"/>
        <v>540</v>
      </c>
      <c r="S194" s="13">
        <f t="shared" si="14"/>
        <v>-906.37274549075801</v>
      </c>
      <c r="T194" s="2">
        <v>45337.375</v>
      </c>
      <c r="U194" t="s">
        <v>37</v>
      </c>
      <c r="V194" t="s">
        <v>29</v>
      </c>
      <c r="W194" t="s">
        <v>47</v>
      </c>
      <c r="X194">
        <v>9</v>
      </c>
      <c r="Y194">
        <v>10</v>
      </c>
      <c r="Z194" t="s">
        <v>68</v>
      </c>
    </row>
    <row r="195" spans="1:26">
      <c r="A195" t="s">
        <v>252</v>
      </c>
      <c r="B195">
        <v>52</v>
      </c>
      <c r="C195" t="str">
        <f t="shared" ref="C195:C258" si="15">IF(B195&lt;18,"0-17",IF(B195&lt;=35,"18-35",IF(B195&lt;=50,"36-50",IF(B195&lt;=65,"51-65","66+"))))</f>
        <v>51-65</v>
      </c>
      <c r="D195" t="s">
        <v>45</v>
      </c>
      <c r="E195" s="2">
        <v>45274</v>
      </c>
      <c r="F195" s="2" t="str">
        <f t="shared" ref="F195:F258" ca="1" si="16">IF(E195&gt;=EDATE(TODAY(),-12),"Yes","No")</f>
        <v>No</v>
      </c>
      <c r="G195" s="2" t="str">
        <f t="shared" ref="G195:G258" si="17">TEXT(E195,"mmm-yyyy")</f>
        <v>Dec-2023</v>
      </c>
      <c r="H195" s="2">
        <v>45289</v>
      </c>
      <c r="I195">
        <v>15</v>
      </c>
      <c r="J195" t="s">
        <v>23</v>
      </c>
      <c r="K195">
        <v>5</v>
      </c>
      <c r="L195" t="s">
        <v>66</v>
      </c>
      <c r="M195" s="9">
        <v>32928</v>
      </c>
      <c r="N195" t="s">
        <v>53</v>
      </c>
      <c r="O195" t="s">
        <v>54</v>
      </c>
      <c r="P195" t="s">
        <v>27</v>
      </c>
      <c r="Q195" s="2">
        <v>45211</v>
      </c>
      <c r="R195" s="13">
        <f t="shared" ref="R195:R258" si="18">(T195-Q195)*1440</f>
        <v>45660.000000003492</v>
      </c>
      <c r="S195" s="13">
        <f t="shared" ref="S195:S258" si="19">AVERAGE(R195:R693)</f>
        <v>-903.36673346671694</v>
      </c>
      <c r="T195" s="2">
        <v>45242.708333333336</v>
      </c>
      <c r="U195" t="s">
        <v>55</v>
      </c>
      <c r="V195" t="s">
        <v>29</v>
      </c>
      <c r="W195" t="s">
        <v>47</v>
      </c>
      <c r="X195">
        <v>10</v>
      </c>
      <c r="Y195">
        <v>10</v>
      </c>
      <c r="Z195" t="s">
        <v>48</v>
      </c>
    </row>
    <row r="196" spans="1:26">
      <c r="A196" t="s">
        <v>253</v>
      </c>
      <c r="B196">
        <v>12</v>
      </c>
      <c r="C196" t="str">
        <f t="shared" si="15"/>
        <v>0-17</v>
      </c>
      <c r="D196" t="s">
        <v>62</v>
      </c>
      <c r="E196" s="2">
        <v>45038</v>
      </c>
      <c r="F196" s="2" t="str">
        <f t="shared" ca="1" si="16"/>
        <v>No</v>
      </c>
      <c r="G196" s="2" t="str">
        <f t="shared" si="17"/>
        <v>Apr-2023</v>
      </c>
      <c r="H196" s="2">
        <v>45042</v>
      </c>
      <c r="I196">
        <v>4</v>
      </c>
      <c r="J196" t="s">
        <v>63</v>
      </c>
      <c r="K196">
        <v>4</v>
      </c>
      <c r="L196" t="s">
        <v>66</v>
      </c>
      <c r="M196" s="9">
        <v>49990</v>
      </c>
      <c r="N196" t="s">
        <v>60</v>
      </c>
      <c r="O196" t="s">
        <v>54</v>
      </c>
      <c r="P196" t="s">
        <v>41</v>
      </c>
      <c r="Q196" s="2">
        <v>45034</v>
      </c>
      <c r="R196" s="13">
        <f t="shared" si="18"/>
        <v>1200.0000000034925</v>
      </c>
      <c r="S196" s="13">
        <f t="shared" si="19"/>
        <v>-994.74949899779301</v>
      </c>
      <c r="T196" s="2">
        <v>45034.833333333336</v>
      </c>
      <c r="U196" t="s">
        <v>28</v>
      </c>
      <c r="V196" t="s">
        <v>29</v>
      </c>
      <c r="W196" t="s">
        <v>47</v>
      </c>
      <c r="X196">
        <v>8</v>
      </c>
      <c r="Y196">
        <v>8</v>
      </c>
      <c r="Z196" t="s">
        <v>31</v>
      </c>
    </row>
    <row r="197" spans="1:26">
      <c r="A197" t="s">
        <v>254</v>
      </c>
      <c r="B197">
        <v>39</v>
      </c>
      <c r="C197" t="str">
        <f t="shared" si="15"/>
        <v>36-50</v>
      </c>
      <c r="D197" t="s">
        <v>62</v>
      </c>
      <c r="E197" s="2">
        <v>45269</v>
      </c>
      <c r="F197" s="2" t="str">
        <f t="shared" ca="1" si="16"/>
        <v>No</v>
      </c>
      <c r="G197" s="2" t="str">
        <f t="shared" si="17"/>
        <v>Dec-2023</v>
      </c>
      <c r="H197" s="2">
        <v>45188</v>
      </c>
      <c r="I197">
        <v>7</v>
      </c>
      <c r="J197" t="s">
        <v>63</v>
      </c>
      <c r="K197">
        <v>2</v>
      </c>
      <c r="L197" t="s">
        <v>66</v>
      </c>
      <c r="M197" s="9">
        <v>46212</v>
      </c>
      <c r="N197" t="s">
        <v>53</v>
      </c>
      <c r="O197" t="s">
        <v>54</v>
      </c>
      <c r="P197" t="s">
        <v>41</v>
      </c>
      <c r="Q197" s="2">
        <v>45269</v>
      </c>
      <c r="R197" s="13">
        <f t="shared" si="18"/>
        <v>959.99999999650754</v>
      </c>
      <c r="S197" s="13">
        <f t="shared" si="19"/>
        <v>-994.2685370739523</v>
      </c>
      <c r="T197" s="2">
        <v>45269.666666666664</v>
      </c>
      <c r="U197" t="s">
        <v>55</v>
      </c>
      <c r="V197" t="s">
        <v>29</v>
      </c>
      <c r="W197" t="s">
        <v>30</v>
      </c>
      <c r="X197">
        <v>10</v>
      </c>
      <c r="Y197">
        <v>10</v>
      </c>
      <c r="Z197" t="s">
        <v>68</v>
      </c>
    </row>
    <row r="198" spans="1:26">
      <c r="A198" t="s">
        <v>255</v>
      </c>
      <c r="B198">
        <v>2</v>
      </c>
      <c r="C198" t="str">
        <f t="shared" si="15"/>
        <v>0-17</v>
      </c>
      <c r="D198" t="s">
        <v>45</v>
      </c>
      <c r="E198" s="2">
        <v>45123</v>
      </c>
      <c r="F198" s="2" t="str">
        <f t="shared" ca="1" si="16"/>
        <v>No</v>
      </c>
      <c r="G198" s="2" t="str">
        <f t="shared" si="17"/>
        <v>Jul-2023</v>
      </c>
      <c r="H198" s="2">
        <v>45129</v>
      </c>
      <c r="I198">
        <v>6</v>
      </c>
      <c r="J198" t="s">
        <v>57</v>
      </c>
      <c r="K198">
        <v>4</v>
      </c>
      <c r="L198" t="s">
        <v>24</v>
      </c>
      <c r="M198" s="9">
        <v>13210</v>
      </c>
      <c r="N198" t="s">
        <v>36</v>
      </c>
      <c r="O198" t="s">
        <v>26</v>
      </c>
      <c r="P198" t="s">
        <v>27</v>
      </c>
      <c r="Q198" s="2">
        <v>45121</v>
      </c>
      <c r="R198" s="13">
        <f t="shared" si="18"/>
        <v>1020.0000000034925</v>
      </c>
      <c r="S198" s="13">
        <f t="shared" si="19"/>
        <v>-993.6673346691357</v>
      </c>
      <c r="T198" s="2">
        <v>45121.708333333336</v>
      </c>
      <c r="U198" t="s">
        <v>64</v>
      </c>
      <c r="V198" t="s">
        <v>29</v>
      </c>
      <c r="W198" t="s">
        <v>43</v>
      </c>
      <c r="X198">
        <v>5</v>
      </c>
      <c r="Y198">
        <v>12</v>
      </c>
      <c r="Z198" t="s">
        <v>48</v>
      </c>
    </row>
    <row r="199" spans="1:26">
      <c r="A199" t="s">
        <v>256</v>
      </c>
      <c r="B199">
        <v>3</v>
      </c>
      <c r="C199" t="str">
        <f t="shared" si="15"/>
        <v>0-17</v>
      </c>
      <c r="D199" t="s">
        <v>33</v>
      </c>
      <c r="E199" s="2">
        <v>45121</v>
      </c>
      <c r="F199" s="2" t="str">
        <f t="shared" ca="1" si="16"/>
        <v>No</v>
      </c>
      <c r="G199" s="2" t="str">
        <f t="shared" si="17"/>
        <v>Jul-2023</v>
      </c>
      <c r="H199" s="2">
        <v>45135</v>
      </c>
      <c r="I199">
        <v>14</v>
      </c>
      <c r="J199" t="s">
        <v>34</v>
      </c>
      <c r="K199">
        <v>4</v>
      </c>
      <c r="L199" t="s">
        <v>66</v>
      </c>
      <c r="M199" s="9">
        <v>7759</v>
      </c>
      <c r="N199" t="s">
        <v>53</v>
      </c>
      <c r="O199" t="s">
        <v>54</v>
      </c>
      <c r="P199" t="s">
        <v>27</v>
      </c>
      <c r="Q199" s="2">
        <v>45120</v>
      </c>
      <c r="R199" s="13">
        <f t="shared" si="18"/>
        <v>2579.9999999965075</v>
      </c>
      <c r="S199" s="13">
        <f t="shared" si="19"/>
        <v>-994.62925851683815</v>
      </c>
      <c r="T199" s="2">
        <v>45121.791666666664</v>
      </c>
      <c r="U199" t="s">
        <v>64</v>
      </c>
      <c r="V199" t="s">
        <v>29</v>
      </c>
      <c r="W199" t="s">
        <v>47</v>
      </c>
      <c r="X199">
        <v>5</v>
      </c>
      <c r="Y199">
        <v>10</v>
      </c>
      <c r="Z199" t="s">
        <v>48</v>
      </c>
    </row>
    <row r="200" spans="1:26">
      <c r="A200" t="s">
        <v>257</v>
      </c>
      <c r="B200">
        <v>56</v>
      </c>
      <c r="C200" t="str">
        <f t="shared" si="15"/>
        <v>51-65</v>
      </c>
      <c r="D200" t="s">
        <v>33</v>
      </c>
      <c r="E200" s="2">
        <v>45386</v>
      </c>
      <c r="F200" s="2" t="str">
        <f t="shared" ca="1" si="16"/>
        <v>No</v>
      </c>
      <c r="G200" s="2" t="str">
        <f t="shared" si="17"/>
        <v>Apr-2024</v>
      </c>
      <c r="H200" s="2">
        <v>45630</v>
      </c>
      <c r="I200">
        <v>8</v>
      </c>
      <c r="J200" t="s">
        <v>50</v>
      </c>
      <c r="K200">
        <v>3</v>
      </c>
      <c r="L200" t="s">
        <v>35</v>
      </c>
      <c r="M200" s="9">
        <v>21091</v>
      </c>
      <c r="N200" t="s">
        <v>53</v>
      </c>
      <c r="O200" t="s">
        <v>54</v>
      </c>
      <c r="P200" t="s">
        <v>27</v>
      </c>
      <c r="Q200" s="2">
        <v>45295</v>
      </c>
      <c r="R200" s="13">
        <f t="shared" si="18"/>
        <v>599.99999999650754</v>
      </c>
      <c r="S200" s="13">
        <f t="shared" si="19"/>
        <v>-996.79358717415278</v>
      </c>
      <c r="T200" s="2">
        <v>45295.416666666664</v>
      </c>
      <c r="U200" t="s">
        <v>64</v>
      </c>
      <c r="V200" t="s">
        <v>29</v>
      </c>
      <c r="W200" t="s">
        <v>43</v>
      </c>
      <c r="X200">
        <v>4</v>
      </c>
      <c r="Y200">
        <v>12</v>
      </c>
      <c r="Z200" t="s">
        <v>48</v>
      </c>
    </row>
    <row r="201" spans="1:26">
      <c r="A201" t="s">
        <v>258</v>
      </c>
      <c r="B201">
        <v>81</v>
      </c>
      <c r="C201" t="str">
        <f t="shared" si="15"/>
        <v>66+</v>
      </c>
      <c r="D201" t="s">
        <v>41</v>
      </c>
      <c r="E201" s="2">
        <v>45070</v>
      </c>
      <c r="F201" s="2" t="str">
        <f t="shared" ca="1" si="16"/>
        <v>No</v>
      </c>
      <c r="G201" s="2" t="str">
        <f t="shared" si="17"/>
        <v>May-2023</v>
      </c>
      <c r="H201" s="2">
        <v>45077</v>
      </c>
      <c r="I201">
        <v>7</v>
      </c>
      <c r="J201" t="s">
        <v>50</v>
      </c>
      <c r="K201">
        <v>3</v>
      </c>
      <c r="L201" t="s">
        <v>71</v>
      </c>
      <c r="M201" s="9">
        <v>5002</v>
      </c>
      <c r="N201" t="s">
        <v>25</v>
      </c>
      <c r="O201" t="s">
        <v>54</v>
      </c>
      <c r="P201" t="s">
        <v>27</v>
      </c>
      <c r="Q201" s="2">
        <v>45070</v>
      </c>
      <c r="R201" s="13">
        <f t="shared" si="18"/>
        <v>2759.9999999965075</v>
      </c>
      <c r="S201" s="13">
        <f t="shared" si="19"/>
        <v>-993.54709418818084</v>
      </c>
      <c r="T201" s="2">
        <v>45071.916666666664</v>
      </c>
      <c r="U201" t="s">
        <v>64</v>
      </c>
      <c r="V201" t="s">
        <v>29</v>
      </c>
      <c r="W201" t="s">
        <v>43</v>
      </c>
      <c r="X201">
        <v>8</v>
      </c>
      <c r="Y201">
        <v>8</v>
      </c>
      <c r="Z201" t="s">
        <v>31</v>
      </c>
    </row>
    <row r="202" spans="1:26">
      <c r="A202" t="s">
        <v>259</v>
      </c>
      <c r="B202">
        <v>59</v>
      </c>
      <c r="C202" t="str">
        <f t="shared" si="15"/>
        <v>51-65</v>
      </c>
      <c r="D202" t="s">
        <v>62</v>
      </c>
      <c r="E202" s="2">
        <v>45507</v>
      </c>
      <c r="F202" s="2" t="str">
        <f t="shared" ca="1" si="16"/>
        <v>No</v>
      </c>
      <c r="G202" s="2" t="str">
        <f t="shared" si="17"/>
        <v>Aug-2024</v>
      </c>
      <c r="H202" s="2">
        <v>45366</v>
      </c>
      <c r="I202">
        <v>7</v>
      </c>
      <c r="J202" t="s">
        <v>63</v>
      </c>
      <c r="K202">
        <v>2</v>
      </c>
      <c r="L202" t="s">
        <v>71</v>
      </c>
      <c r="M202" s="9">
        <v>45958</v>
      </c>
      <c r="N202" t="s">
        <v>60</v>
      </c>
      <c r="O202" t="s">
        <v>54</v>
      </c>
      <c r="P202" t="s">
        <v>27</v>
      </c>
      <c r="Q202" s="2">
        <v>45446</v>
      </c>
      <c r="R202" s="13">
        <f t="shared" si="18"/>
        <v>43439.999999996508</v>
      </c>
      <c r="S202" s="13">
        <f t="shared" si="19"/>
        <v>-995.83166332645033</v>
      </c>
      <c r="T202" s="2">
        <v>45476.166666666664</v>
      </c>
      <c r="U202" t="s">
        <v>37</v>
      </c>
      <c r="V202" t="s">
        <v>29</v>
      </c>
      <c r="W202" t="s">
        <v>30</v>
      </c>
      <c r="X202">
        <v>8</v>
      </c>
      <c r="Y202">
        <v>12</v>
      </c>
      <c r="Z202" t="s">
        <v>31</v>
      </c>
    </row>
    <row r="203" spans="1:26">
      <c r="A203" t="s">
        <v>260</v>
      </c>
      <c r="B203">
        <v>2</v>
      </c>
      <c r="C203" t="str">
        <f t="shared" si="15"/>
        <v>0-17</v>
      </c>
      <c r="D203" t="s">
        <v>22</v>
      </c>
      <c r="E203" s="2">
        <v>45114</v>
      </c>
      <c r="F203" s="2" t="str">
        <f t="shared" ca="1" si="16"/>
        <v>No</v>
      </c>
      <c r="G203" s="2" t="str">
        <f t="shared" si="17"/>
        <v>Jul-2023</v>
      </c>
      <c r="H203" s="2">
        <v>45126</v>
      </c>
      <c r="I203">
        <v>12</v>
      </c>
      <c r="J203" t="s">
        <v>57</v>
      </c>
      <c r="K203">
        <v>3</v>
      </c>
      <c r="L203" t="s">
        <v>46</v>
      </c>
      <c r="M203" s="9">
        <v>35160</v>
      </c>
      <c r="N203" t="s">
        <v>53</v>
      </c>
      <c r="O203" t="s">
        <v>26</v>
      </c>
      <c r="P203" t="s">
        <v>27</v>
      </c>
      <c r="Q203" s="2">
        <v>45023</v>
      </c>
      <c r="R203" s="13">
        <f t="shared" si="18"/>
        <v>43259.999999996508</v>
      </c>
      <c r="S203" s="13">
        <f t="shared" si="19"/>
        <v>-996.31262525029103</v>
      </c>
      <c r="T203" s="2">
        <v>45053.041666666664</v>
      </c>
      <c r="U203" t="s">
        <v>64</v>
      </c>
      <c r="V203" t="s">
        <v>29</v>
      </c>
      <c r="W203" t="s">
        <v>47</v>
      </c>
      <c r="X203">
        <v>10</v>
      </c>
      <c r="Y203">
        <v>8</v>
      </c>
      <c r="Z203" t="s">
        <v>48</v>
      </c>
    </row>
    <row r="204" spans="1:26">
      <c r="A204" t="s">
        <v>261</v>
      </c>
      <c r="B204">
        <v>2</v>
      </c>
      <c r="C204" t="str">
        <f t="shared" si="15"/>
        <v>0-17</v>
      </c>
      <c r="D204" t="s">
        <v>41</v>
      </c>
      <c r="E204" s="2">
        <v>45212</v>
      </c>
      <c r="F204" s="2" t="str">
        <f t="shared" ca="1" si="16"/>
        <v>No</v>
      </c>
      <c r="G204" s="2" t="str">
        <f t="shared" si="17"/>
        <v>Oct-2023</v>
      </c>
      <c r="H204" s="2">
        <v>45214</v>
      </c>
      <c r="I204">
        <v>2</v>
      </c>
      <c r="J204" t="s">
        <v>50</v>
      </c>
      <c r="K204">
        <v>3</v>
      </c>
      <c r="L204" t="s">
        <v>35</v>
      </c>
      <c r="M204" s="9">
        <v>25707</v>
      </c>
      <c r="N204" t="s">
        <v>25</v>
      </c>
      <c r="O204" t="s">
        <v>54</v>
      </c>
      <c r="P204" t="s">
        <v>27</v>
      </c>
      <c r="Q204" s="2">
        <v>45270</v>
      </c>
      <c r="R204" s="13">
        <f t="shared" si="18"/>
        <v>300.00000000349246</v>
      </c>
      <c r="S204" s="13">
        <f t="shared" si="19"/>
        <v>-992.22444889757162</v>
      </c>
      <c r="T204" s="2">
        <v>45270.208333333336</v>
      </c>
      <c r="U204" t="s">
        <v>64</v>
      </c>
      <c r="V204" t="s">
        <v>29</v>
      </c>
      <c r="W204" t="s">
        <v>43</v>
      </c>
      <c r="X204">
        <v>9</v>
      </c>
      <c r="Y204">
        <v>12</v>
      </c>
      <c r="Z204" t="s">
        <v>48</v>
      </c>
    </row>
    <row r="205" spans="1:26">
      <c r="A205" t="s">
        <v>262</v>
      </c>
      <c r="B205">
        <v>54</v>
      </c>
      <c r="C205" t="str">
        <f t="shared" si="15"/>
        <v>51-65</v>
      </c>
      <c r="D205" t="s">
        <v>33</v>
      </c>
      <c r="E205" s="2">
        <v>45400</v>
      </c>
      <c r="F205" s="2" t="str">
        <f t="shared" ca="1" si="16"/>
        <v>No</v>
      </c>
      <c r="G205" s="2" t="str">
        <f t="shared" si="17"/>
        <v>Apr-2024</v>
      </c>
      <c r="H205" s="2">
        <v>45406</v>
      </c>
      <c r="I205">
        <v>6</v>
      </c>
      <c r="J205" t="s">
        <v>50</v>
      </c>
      <c r="K205">
        <v>3</v>
      </c>
      <c r="L205" t="s">
        <v>66</v>
      </c>
      <c r="M205" s="9">
        <v>20248</v>
      </c>
      <c r="N205" t="s">
        <v>67</v>
      </c>
      <c r="O205" t="s">
        <v>26</v>
      </c>
      <c r="P205" t="s">
        <v>27</v>
      </c>
      <c r="Q205" s="2">
        <v>45399</v>
      </c>
      <c r="R205" s="13">
        <f t="shared" si="18"/>
        <v>1740.0000000034925</v>
      </c>
      <c r="S205" s="13">
        <f t="shared" si="19"/>
        <v>-1668.5771543083933</v>
      </c>
      <c r="T205" s="2">
        <v>45400.208333333336</v>
      </c>
      <c r="U205" t="s">
        <v>37</v>
      </c>
      <c r="V205" t="s">
        <v>29</v>
      </c>
      <c r="W205" t="s">
        <v>30</v>
      </c>
      <c r="X205">
        <v>5</v>
      </c>
      <c r="Y205">
        <v>12</v>
      </c>
      <c r="Z205" t="s">
        <v>48</v>
      </c>
    </row>
    <row r="206" spans="1:26">
      <c r="A206" t="s">
        <v>263</v>
      </c>
      <c r="B206">
        <v>87</v>
      </c>
      <c r="C206" t="str">
        <f t="shared" si="15"/>
        <v>66+</v>
      </c>
      <c r="D206" t="s">
        <v>45</v>
      </c>
      <c r="E206" s="2">
        <v>45182</v>
      </c>
      <c r="F206" s="2" t="str">
        <f t="shared" ca="1" si="16"/>
        <v>No</v>
      </c>
      <c r="G206" s="2" t="str">
        <f t="shared" si="17"/>
        <v>Sep-2023</v>
      </c>
      <c r="H206" s="2">
        <v>45189</v>
      </c>
      <c r="I206">
        <v>7</v>
      </c>
      <c r="J206" t="s">
        <v>34</v>
      </c>
      <c r="K206">
        <v>4</v>
      </c>
      <c r="L206" t="s">
        <v>71</v>
      </c>
      <c r="M206" s="9">
        <v>10773</v>
      </c>
      <c r="N206" t="s">
        <v>25</v>
      </c>
      <c r="O206" t="s">
        <v>54</v>
      </c>
      <c r="P206" t="s">
        <v>27</v>
      </c>
      <c r="Q206" s="2">
        <v>45182</v>
      </c>
      <c r="R206" s="13">
        <f t="shared" si="18"/>
        <v>2340</v>
      </c>
      <c r="S206" s="13">
        <f t="shared" si="19"/>
        <v>-1670.6212424847529</v>
      </c>
      <c r="T206" s="2">
        <v>45183.625</v>
      </c>
      <c r="U206" t="s">
        <v>64</v>
      </c>
      <c r="V206" t="s">
        <v>29</v>
      </c>
      <c r="W206" t="s">
        <v>30</v>
      </c>
      <c r="X206">
        <v>6</v>
      </c>
      <c r="Y206">
        <v>10</v>
      </c>
      <c r="Z206" t="s">
        <v>48</v>
      </c>
    </row>
    <row r="207" spans="1:26">
      <c r="A207" t="s">
        <v>264</v>
      </c>
      <c r="B207">
        <v>1</v>
      </c>
      <c r="C207" t="str">
        <f t="shared" si="15"/>
        <v>0-17</v>
      </c>
      <c r="D207" t="s">
        <v>33</v>
      </c>
      <c r="E207" s="2">
        <v>45004</v>
      </c>
      <c r="F207" s="2" t="str">
        <f t="shared" ca="1" si="16"/>
        <v>No</v>
      </c>
      <c r="G207" s="2" t="str">
        <f t="shared" si="17"/>
        <v>Mar-2023</v>
      </c>
      <c r="H207" s="2">
        <v>45010</v>
      </c>
      <c r="I207">
        <v>6</v>
      </c>
      <c r="J207" t="s">
        <v>40</v>
      </c>
      <c r="K207">
        <v>2</v>
      </c>
      <c r="L207" t="s">
        <v>35</v>
      </c>
      <c r="M207" s="9">
        <v>17786</v>
      </c>
      <c r="N207" t="s">
        <v>25</v>
      </c>
      <c r="O207" t="s">
        <v>26</v>
      </c>
      <c r="P207" t="s">
        <v>41</v>
      </c>
      <c r="Q207" s="2">
        <v>45004</v>
      </c>
      <c r="R207" s="13">
        <f t="shared" si="18"/>
        <v>1859.9999999965075</v>
      </c>
      <c r="S207" s="13">
        <f t="shared" si="19"/>
        <v>-1593.6673346691286</v>
      </c>
      <c r="T207" s="2">
        <v>45005.291666666664</v>
      </c>
      <c r="U207" t="s">
        <v>55</v>
      </c>
      <c r="V207" t="s">
        <v>38</v>
      </c>
      <c r="W207" t="s">
        <v>30</v>
      </c>
      <c r="X207">
        <v>4</v>
      </c>
      <c r="Y207">
        <v>12</v>
      </c>
      <c r="Z207" t="s">
        <v>48</v>
      </c>
    </row>
    <row r="208" spans="1:26">
      <c r="A208" t="s">
        <v>265</v>
      </c>
      <c r="B208">
        <v>19</v>
      </c>
      <c r="C208" t="str">
        <f t="shared" si="15"/>
        <v>18-35</v>
      </c>
      <c r="D208" t="s">
        <v>45</v>
      </c>
      <c r="E208" s="2">
        <v>45380</v>
      </c>
      <c r="F208" s="2" t="str">
        <f t="shared" ca="1" si="16"/>
        <v>No</v>
      </c>
      <c r="G208" s="2" t="str">
        <f t="shared" si="17"/>
        <v>Mar-2024</v>
      </c>
      <c r="H208" s="2">
        <v>45539</v>
      </c>
      <c r="I208">
        <v>11</v>
      </c>
      <c r="J208" t="s">
        <v>63</v>
      </c>
      <c r="K208">
        <v>4</v>
      </c>
      <c r="L208" t="s">
        <v>71</v>
      </c>
      <c r="M208" s="9">
        <v>20037</v>
      </c>
      <c r="N208" t="s">
        <v>25</v>
      </c>
      <c r="O208" t="s">
        <v>54</v>
      </c>
      <c r="P208" t="s">
        <v>41</v>
      </c>
      <c r="Q208" s="2">
        <v>45378</v>
      </c>
      <c r="R208" s="13">
        <f t="shared" si="18"/>
        <v>2280.0000000034925</v>
      </c>
      <c r="S208" s="13">
        <f t="shared" si="19"/>
        <v>-1596.7935871741247</v>
      </c>
      <c r="T208" s="2">
        <v>45379.583333333336</v>
      </c>
      <c r="U208" t="s">
        <v>55</v>
      </c>
      <c r="V208" t="s">
        <v>29</v>
      </c>
      <c r="W208" t="s">
        <v>47</v>
      </c>
      <c r="X208">
        <v>11</v>
      </c>
      <c r="Y208">
        <v>8</v>
      </c>
      <c r="Z208" t="s">
        <v>48</v>
      </c>
    </row>
    <row r="209" spans="1:26">
      <c r="A209" t="s">
        <v>266</v>
      </c>
      <c r="B209">
        <v>2</v>
      </c>
      <c r="C209" t="str">
        <f t="shared" si="15"/>
        <v>0-17</v>
      </c>
      <c r="D209" t="s">
        <v>41</v>
      </c>
      <c r="E209" s="2">
        <v>45234</v>
      </c>
      <c r="F209" s="2" t="str">
        <f t="shared" ca="1" si="16"/>
        <v>No</v>
      </c>
      <c r="G209" s="2" t="str">
        <f t="shared" si="17"/>
        <v>Nov-2023</v>
      </c>
      <c r="H209" s="2">
        <v>45032</v>
      </c>
      <c r="I209">
        <v>5</v>
      </c>
      <c r="J209" t="s">
        <v>63</v>
      </c>
      <c r="K209">
        <v>5</v>
      </c>
      <c r="L209" t="s">
        <v>66</v>
      </c>
      <c r="M209" s="9">
        <v>6885</v>
      </c>
      <c r="N209" t="s">
        <v>53</v>
      </c>
      <c r="O209" t="s">
        <v>54</v>
      </c>
      <c r="P209" t="s">
        <v>41</v>
      </c>
      <c r="Q209" s="2">
        <v>45142</v>
      </c>
      <c r="R209" s="13">
        <f t="shared" si="18"/>
        <v>44760.000000003492</v>
      </c>
      <c r="S209" s="13">
        <f t="shared" si="19"/>
        <v>-1601.1222444887539</v>
      </c>
      <c r="T209" s="2">
        <v>45173.083333333336</v>
      </c>
      <c r="U209" t="s">
        <v>42</v>
      </c>
      <c r="V209" t="s">
        <v>29</v>
      </c>
      <c r="W209" t="s">
        <v>47</v>
      </c>
      <c r="X209">
        <v>8</v>
      </c>
      <c r="Y209">
        <v>12</v>
      </c>
      <c r="Z209" t="s">
        <v>68</v>
      </c>
    </row>
    <row r="210" spans="1:26">
      <c r="A210" t="s">
        <v>267</v>
      </c>
      <c r="B210">
        <v>53</v>
      </c>
      <c r="C210" t="str">
        <f t="shared" si="15"/>
        <v>51-65</v>
      </c>
      <c r="D210" t="s">
        <v>62</v>
      </c>
      <c r="E210" s="2">
        <v>44978</v>
      </c>
      <c r="F210" s="2" t="str">
        <f t="shared" ca="1" si="16"/>
        <v>No</v>
      </c>
      <c r="G210" s="2" t="str">
        <f t="shared" si="17"/>
        <v>Feb-2023</v>
      </c>
      <c r="H210" s="2">
        <v>44984</v>
      </c>
      <c r="I210">
        <v>6</v>
      </c>
      <c r="J210" t="s">
        <v>40</v>
      </c>
      <c r="K210">
        <v>4</v>
      </c>
      <c r="L210" t="s">
        <v>71</v>
      </c>
      <c r="M210" s="9">
        <v>44828</v>
      </c>
      <c r="N210" t="s">
        <v>53</v>
      </c>
      <c r="O210" t="s">
        <v>54</v>
      </c>
      <c r="P210" t="s">
        <v>41</v>
      </c>
      <c r="Q210" s="2">
        <v>44974</v>
      </c>
      <c r="R210" s="13">
        <f t="shared" si="18"/>
        <v>2100.0000000034925</v>
      </c>
      <c r="S210" s="13">
        <f t="shared" si="19"/>
        <v>-1602.5651302602971</v>
      </c>
      <c r="T210" s="2">
        <v>44975.458333333336</v>
      </c>
      <c r="U210" t="s">
        <v>55</v>
      </c>
      <c r="V210" t="s">
        <v>29</v>
      </c>
      <c r="W210" t="s">
        <v>30</v>
      </c>
      <c r="X210">
        <v>7</v>
      </c>
      <c r="Y210">
        <v>8</v>
      </c>
      <c r="Z210" t="s">
        <v>48</v>
      </c>
    </row>
    <row r="211" spans="1:26">
      <c r="A211" t="s">
        <v>268</v>
      </c>
      <c r="B211">
        <v>44</v>
      </c>
      <c r="C211" t="str">
        <f t="shared" si="15"/>
        <v>36-50</v>
      </c>
      <c r="D211" t="s">
        <v>33</v>
      </c>
      <c r="E211" s="2">
        <v>44942</v>
      </c>
      <c r="F211" s="2" t="str">
        <f t="shared" ca="1" si="16"/>
        <v>No</v>
      </c>
      <c r="G211" s="2" t="str">
        <f t="shared" si="17"/>
        <v>Jan-2023</v>
      </c>
      <c r="H211" s="2">
        <v>44945</v>
      </c>
      <c r="I211">
        <v>3</v>
      </c>
      <c r="J211" t="s">
        <v>50</v>
      </c>
      <c r="K211">
        <v>5</v>
      </c>
      <c r="L211" t="s">
        <v>46</v>
      </c>
      <c r="M211" s="9">
        <v>21331</v>
      </c>
      <c r="N211" t="s">
        <v>67</v>
      </c>
      <c r="O211" t="s">
        <v>26</v>
      </c>
      <c r="P211" t="s">
        <v>27</v>
      </c>
      <c r="Q211" s="2">
        <v>44939</v>
      </c>
      <c r="R211" s="13">
        <f t="shared" si="18"/>
        <v>1980</v>
      </c>
      <c r="S211" s="13">
        <f t="shared" si="19"/>
        <v>-1606.1723446891549</v>
      </c>
      <c r="T211" s="2">
        <v>44940.375</v>
      </c>
      <c r="U211" t="s">
        <v>28</v>
      </c>
      <c r="V211" t="s">
        <v>29</v>
      </c>
      <c r="W211" t="s">
        <v>47</v>
      </c>
      <c r="X211">
        <v>7</v>
      </c>
      <c r="Y211">
        <v>8</v>
      </c>
      <c r="Z211" t="s">
        <v>31</v>
      </c>
    </row>
    <row r="212" spans="1:26">
      <c r="A212" t="s">
        <v>269</v>
      </c>
      <c r="B212">
        <v>32</v>
      </c>
      <c r="C212" t="str">
        <f t="shared" si="15"/>
        <v>18-35</v>
      </c>
      <c r="D212" t="s">
        <v>45</v>
      </c>
      <c r="E212" s="2">
        <v>45081</v>
      </c>
      <c r="F212" s="2" t="str">
        <f t="shared" ca="1" si="16"/>
        <v>No</v>
      </c>
      <c r="G212" s="2" t="str">
        <f t="shared" si="17"/>
        <v>Jun-2023</v>
      </c>
      <c r="H212" s="2">
        <v>45033</v>
      </c>
      <c r="I212">
        <v>11</v>
      </c>
      <c r="J212" t="s">
        <v>34</v>
      </c>
      <c r="K212">
        <v>1</v>
      </c>
      <c r="L212" t="s">
        <v>46</v>
      </c>
      <c r="M212" s="9">
        <v>45612</v>
      </c>
      <c r="N212" t="s">
        <v>36</v>
      </c>
      <c r="O212" t="s">
        <v>26</v>
      </c>
      <c r="P212" t="s">
        <v>27</v>
      </c>
      <c r="Q212" s="2">
        <v>45050</v>
      </c>
      <c r="R212" s="13">
        <f t="shared" si="18"/>
        <v>45900</v>
      </c>
      <c r="S212" s="13">
        <f t="shared" si="19"/>
        <v>-1610.0200400799433</v>
      </c>
      <c r="T212" s="2">
        <v>45081.875</v>
      </c>
      <c r="U212" t="s">
        <v>28</v>
      </c>
      <c r="V212" t="s">
        <v>38</v>
      </c>
      <c r="W212" t="s">
        <v>47</v>
      </c>
      <c r="X212">
        <v>6</v>
      </c>
      <c r="Y212">
        <v>12</v>
      </c>
      <c r="Z212" t="s">
        <v>31</v>
      </c>
    </row>
    <row r="213" spans="1:26">
      <c r="A213" t="s">
        <v>270</v>
      </c>
      <c r="B213">
        <v>70</v>
      </c>
      <c r="C213" t="str">
        <f t="shared" si="15"/>
        <v>66+</v>
      </c>
      <c r="D213" t="s">
        <v>62</v>
      </c>
      <c r="E213" s="2">
        <v>45169</v>
      </c>
      <c r="F213" s="2" t="str">
        <f t="shared" ca="1" si="16"/>
        <v>No</v>
      </c>
      <c r="G213" s="2" t="str">
        <f t="shared" si="17"/>
        <v>Aug-2023</v>
      </c>
      <c r="H213" s="2">
        <v>45184</v>
      </c>
      <c r="I213">
        <v>15</v>
      </c>
      <c r="J213" t="s">
        <v>34</v>
      </c>
      <c r="K213">
        <v>1</v>
      </c>
      <c r="L213" t="s">
        <v>71</v>
      </c>
      <c r="M213" s="9">
        <v>27495</v>
      </c>
      <c r="N213" t="s">
        <v>36</v>
      </c>
      <c r="O213" t="s">
        <v>54</v>
      </c>
      <c r="P213" t="s">
        <v>27</v>
      </c>
      <c r="Q213" s="2">
        <v>45168</v>
      </c>
      <c r="R213" s="13">
        <f t="shared" si="18"/>
        <v>1620</v>
      </c>
      <c r="S213" s="13">
        <f t="shared" si="19"/>
        <v>-1699.9599198394553</v>
      </c>
      <c r="T213" s="2">
        <v>45169.125</v>
      </c>
      <c r="U213" t="s">
        <v>28</v>
      </c>
      <c r="V213" t="s">
        <v>29</v>
      </c>
      <c r="W213" t="s">
        <v>43</v>
      </c>
      <c r="X213">
        <v>5</v>
      </c>
      <c r="Y213">
        <v>10</v>
      </c>
      <c r="Z213" t="s">
        <v>31</v>
      </c>
    </row>
    <row r="214" spans="1:26">
      <c r="A214" t="s">
        <v>271</v>
      </c>
      <c r="B214">
        <v>32</v>
      </c>
      <c r="C214" t="str">
        <f t="shared" si="15"/>
        <v>18-35</v>
      </c>
      <c r="D214" t="s">
        <v>22</v>
      </c>
      <c r="E214" s="2">
        <v>45097</v>
      </c>
      <c r="F214" s="2" t="str">
        <f t="shared" ca="1" si="16"/>
        <v>No</v>
      </c>
      <c r="G214" s="2" t="str">
        <f t="shared" si="17"/>
        <v>Jun-2023</v>
      </c>
      <c r="H214" s="2">
        <v>45105</v>
      </c>
      <c r="I214">
        <v>8</v>
      </c>
      <c r="J214" t="s">
        <v>63</v>
      </c>
      <c r="K214">
        <v>5</v>
      </c>
      <c r="L214" t="s">
        <v>35</v>
      </c>
      <c r="M214" s="9">
        <v>18450</v>
      </c>
      <c r="N214" t="s">
        <v>36</v>
      </c>
      <c r="O214" t="s">
        <v>26</v>
      </c>
      <c r="P214" t="s">
        <v>27</v>
      </c>
      <c r="Q214" s="2">
        <v>45095</v>
      </c>
      <c r="R214" s="13">
        <f t="shared" si="18"/>
        <v>2100.0000000034925</v>
      </c>
      <c r="S214" s="13">
        <f t="shared" si="19"/>
        <v>-1701.5230460919533</v>
      </c>
      <c r="T214" s="2">
        <v>45096.458333333336</v>
      </c>
      <c r="U214" t="s">
        <v>37</v>
      </c>
      <c r="V214" t="s">
        <v>29</v>
      </c>
      <c r="W214" t="s">
        <v>30</v>
      </c>
      <c r="X214">
        <v>5</v>
      </c>
      <c r="Y214">
        <v>12</v>
      </c>
      <c r="Z214" t="s">
        <v>48</v>
      </c>
    </row>
    <row r="215" spans="1:26">
      <c r="A215" t="s">
        <v>272</v>
      </c>
      <c r="B215">
        <v>68</v>
      </c>
      <c r="C215" t="str">
        <f t="shared" si="15"/>
        <v>66+</v>
      </c>
      <c r="D215" t="s">
        <v>45</v>
      </c>
      <c r="E215" s="2">
        <v>45343</v>
      </c>
      <c r="F215" s="2" t="str">
        <f t="shared" ca="1" si="16"/>
        <v>No</v>
      </c>
      <c r="G215" s="2" t="str">
        <f t="shared" si="17"/>
        <v>Feb-2024</v>
      </c>
      <c r="H215" s="2">
        <v>45345</v>
      </c>
      <c r="I215">
        <v>2</v>
      </c>
      <c r="J215" t="s">
        <v>34</v>
      </c>
      <c r="K215">
        <v>5</v>
      </c>
      <c r="L215" t="s">
        <v>35</v>
      </c>
      <c r="M215" s="9">
        <v>14491</v>
      </c>
      <c r="N215" t="s">
        <v>67</v>
      </c>
      <c r="O215" t="s">
        <v>54</v>
      </c>
      <c r="P215" t="s">
        <v>27</v>
      </c>
      <c r="Q215" s="2">
        <v>45339</v>
      </c>
      <c r="R215" s="13">
        <f t="shared" si="18"/>
        <v>180</v>
      </c>
      <c r="S215" s="13">
        <f t="shared" si="19"/>
        <v>-1705.370741482742</v>
      </c>
      <c r="T215" s="2">
        <v>45339.125</v>
      </c>
      <c r="U215" t="s">
        <v>55</v>
      </c>
      <c r="V215" t="s">
        <v>29</v>
      </c>
      <c r="W215" t="s">
        <v>30</v>
      </c>
      <c r="X215">
        <v>5</v>
      </c>
      <c r="Y215">
        <v>12</v>
      </c>
      <c r="Z215" t="s">
        <v>31</v>
      </c>
    </row>
    <row r="216" spans="1:26">
      <c r="A216" t="s">
        <v>273</v>
      </c>
      <c r="B216">
        <v>55</v>
      </c>
      <c r="C216" t="str">
        <f t="shared" si="15"/>
        <v>51-65</v>
      </c>
      <c r="D216" t="s">
        <v>41</v>
      </c>
      <c r="E216" s="2">
        <v>45631</v>
      </c>
      <c r="F216" s="2" t="str">
        <f t="shared" ca="1" si="16"/>
        <v>No</v>
      </c>
      <c r="G216" s="2" t="str">
        <f t="shared" si="17"/>
        <v>Dec-2024</v>
      </c>
      <c r="H216" s="2">
        <v>45426</v>
      </c>
      <c r="I216">
        <v>2</v>
      </c>
      <c r="J216" t="s">
        <v>23</v>
      </c>
      <c r="K216">
        <v>4</v>
      </c>
      <c r="L216" t="s">
        <v>35</v>
      </c>
      <c r="M216" s="9">
        <v>14268</v>
      </c>
      <c r="N216" t="s">
        <v>36</v>
      </c>
      <c r="O216" t="s">
        <v>54</v>
      </c>
      <c r="P216" t="s">
        <v>41</v>
      </c>
      <c r="Q216" s="2">
        <v>45478</v>
      </c>
      <c r="R216" s="13">
        <f t="shared" si="18"/>
        <v>44640</v>
      </c>
      <c r="S216" s="13">
        <f t="shared" si="19"/>
        <v>-1705.2505010017871</v>
      </c>
      <c r="T216" s="2">
        <v>45509</v>
      </c>
      <c r="U216" t="s">
        <v>28</v>
      </c>
      <c r="V216" t="s">
        <v>29</v>
      </c>
      <c r="W216" t="s">
        <v>47</v>
      </c>
      <c r="X216">
        <v>9</v>
      </c>
      <c r="Y216">
        <v>10</v>
      </c>
      <c r="Z216" t="s">
        <v>68</v>
      </c>
    </row>
    <row r="217" spans="1:26">
      <c r="A217" t="s">
        <v>274</v>
      </c>
      <c r="B217">
        <v>75</v>
      </c>
      <c r="C217" t="str">
        <f t="shared" si="15"/>
        <v>66+</v>
      </c>
      <c r="D217" t="s">
        <v>22</v>
      </c>
      <c r="E217" s="2">
        <v>45478</v>
      </c>
      <c r="F217" s="2" t="str">
        <f t="shared" ca="1" si="16"/>
        <v>No</v>
      </c>
      <c r="G217" s="2" t="str">
        <f t="shared" si="17"/>
        <v>Jul-2024</v>
      </c>
      <c r="H217" s="2">
        <v>45433</v>
      </c>
      <c r="I217">
        <v>14</v>
      </c>
      <c r="J217" t="s">
        <v>40</v>
      </c>
      <c r="K217">
        <v>5</v>
      </c>
      <c r="L217" t="s">
        <v>71</v>
      </c>
      <c r="M217" s="9">
        <v>32757</v>
      </c>
      <c r="N217" t="s">
        <v>36</v>
      </c>
      <c r="O217" t="s">
        <v>54</v>
      </c>
      <c r="P217" t="s">
        <v>41</v>
      </c>
      <c r="Q217" s="2">
        <v>45417</v>
      </c>
      <c r="R217" s="13">
        <f t="shared" si="18"/>
        <v>45900</v>
      </c>
      <c r="S217" s="13">
        <f t="shared" si="19"/>
        <v>-1710.7815631260285</v>
      </c>
      <c r="T217" s="2">
        <v>45448.875</v>
      </c>
      <c r="U217" t="s">
        <v>42</v>
      </c>
      <c r="V217" t="s">
        <v>29</v>
      </c>
      <c r="W217" t="s">
        <v>30</v>
      </c>
      <c r="X217">
        <v>10</v>
      </c>
      <c r="Y217">
        <v>8</v>
      </c>
      <c r="Z217" t="s">
        <v>48</v>
      </c>
    </row>
    <row r="218" spans="1:26">
      <c r="A218" t="s">
        <v>275</v>
      </c>
      <c r="B218">
        <v>56</v>
      </c>
      <c r="C218" t="str">
        <f t="shared" si="15"/>
        <v>51-65</v>
      </c>
      <c r="D218" t="s">
        <v>22</v>
      </c>
      <c r="E218" s="2">
        <v>45115</v>
      </c>
      <c r="F218" s="2" t="str">
        <f t="shared" ca="1" si="16"/>
        <v>No</v>
      </c>
      <c r="G218" s="2" t="str">
        <f t="shared" si="17"/>
        <v>Jul-2023</v>
      </c>
      <c r="H218" s="2">
        <v>45177</v>
      </c>
      <c r="I218">
        <v>2</v>
      </c>
      <c r="J218" t="s">
        <v>50</v>
      </c>
      <c r="K218">
        <v>2</v>
      </c>
      <c r="L218" t="s">
        <v>35</v>
      </c>
      <c r="M218" s="9">
        <v>46907</v>
      </c>
      <c r="N218" t="s">
        <v>25</v>
      </c>
      <c r="O218" t="s">
        <v>26</v>
      </c>
      <c r="P218" t="s">
        <v>41</v>
      </c>
      <c r="Q218" s="2">
        <v>45085</v>
      </c>
      <c r="R218" s="13">
        <f t="shared" si="18"/>
        <v>43860.000000003492</v>
      </c>
      <c r="S218" s="13">
        <f t="shared" si="19"/>
        <v>-1798.7975951901567</v>
      </c>
      <c r="T218" s="2">
        <v>45115.458333333336</v>
      </c>
      <c r="U218" t="s">
        <v>37</v>
      </c>
      <c r="V218" t="s">
        <v>29</v>
      </c>
      <c r="W218" t="s">
        <v>30</v>
      </c>
      <c r="X218">
        <v>7</v>
      </c>
      <c r="Y218">
        <v>12</v>
      </c>
      <c r="Z218" t="s">
        <v>31</v>
      </c>
    </row>
    <row r="219" spans="1:26">
      <c r="A219" t="s">
        <v>276</v>
      </c>
      <c r="B219">
        <v>17</v>
      </c>
      <c r="C219" t="str">
        <f t="shared" si="15"/>
        <v>0-17</v>
      </c>
      <c r="D219" t="s">
        <v>52</v>
      </c>
      <c r="E219" s="2">
        <v>45337</v>
      </c>
      <c r="F219" s="2" t="str">
        <f t="shared" ca="1" si="16"/>
        <v>No</v>
      </c>
      <c r="G219" s="2" t="str">
        <f t="shared" si="17"/>
        <v>Feb-2024</v>
      </c>
      <c r="H219" s="2">
        <v>45339</v>
      </c>
      <c r="I219">
        <v>2</v>
      </c>
      <c r="J219" t="s">
        <v>23</v>
      </c>
      <c r="K219">
        <v>1</v>
      </c>
      <c r="L219" t="s">
        <v>66</v>
      </c>
      <c r="M219" s="9">
        <v>11791</v>
      </c>
      <c r="N219" t="s">
        <v>53</v>
      </c>
      <c r="O219" t="s">
        <v>26</v>
      </c>
      <c r="P219" t="s">
        <v>27</v>
      </c>
      <c r="Q219" s="2">
        <v>45336</v>
      </c>
      <c r="R219" s="13">
        <f t="shared" si="18"/>
        <v>2340</v>
      </c>
      <c r="S219" s="13">
        <f t="shared" si="19"/>
        <v>-1884.4088176350606</v>
      </c>
      <c r="T219" s="2">
        <v>45337.625</v>
      </c>
      <c r="U219" t="s">
        <v>42</v>
      </c>
      <c r="V219" t="s">
        <v>29</v>
      </c>
      <c r="W219" t="s">
        <v>30</v>
      </c>
      <c r="X219">
        <v>5</v>
      </c>
      <c r="Y219">
        <v>10</v>
      </c>
      <c r="Z219" t="s">
        <v>68</v>
      </c>
    </row>
    <row r="220" spans="1:26">
      <c r="A220" t="s">
        <v>277</v>
      </c>
      <c r="B220">
        <v>38</v>
      </c>
      <c r="C220" t="str">
        <f t="shared" si="15"/>
        <v>36-50</v>
      </c>
      <c r="D220" t="s">
        <v>33</v>
      </c>
      <c r="E220" s="2">
        <v>44960</v>
      </c>
      <c r="F220" s="2" t="str">
        <f t="shared" ca="1" si="16"/>
        <v>No</v>
      </c>
      <c r="G220" s="2" t="str">
        <f t="shared" si="17"/>
        <v>Feb-2023</v>
      </c>
      <c r="H220" s="2">
        <v>45172</v>
      </c>
      <c r="I220">
        <v>7</v>
      </c>
      <c r="J220" t="s">
        <v>40</v>
      </c>
      <c r="K220">
        <v>1</v>
      </c>
      <c r="L220" t="s">
        <v>46</v>
      </c>
      <c r="M220" s="9">
        <v>44939</v>
      </c>
      <c r="N220" t="s">
        <v>53</v>
      </c>
      <c r="O220" t="s">
        <v>54</v>
      </c>
      <c r="P220" t="s">
        <v>41</v>
      </c>
      <c r="Q220" s="2">
        <v>44984</v>
      </c>
      <c r="R220" s="13">
        <f t="shared" si="18"/>
        <v>2460.0000000034925</v>
      </c>
      <c r="S220" s="13">
        <f t="shared" si="19"/>
        <v>-1797.5951903805446</v>
      </c>
      <c r="T220" s="2">
        <v>44985.708333333336</v>
      </c>
      <c r="U220" t="s">
        <v>55</v>
      </c>
      <c r="V220" t="s">
        <v>29</v>
      </c>
      <c r="W220" t="s">
        <v>47</v>
      </c>
      <c r="X220">
        <v>7</v>
      </c>
      <c r="Y220">
        <v>10</v>
      </c>
      <c r="Z220" t="s">
        <v>68</v>
      </c>
    </row>
    <row r="221" spans="1:26">
      <c r="A221" t="s">
        <v>278</v>
      </c>
      <c r="B221">
        <v>24</v>
      </c>
      <c r="C221" t="str">
        <f t="shared" si="15"/>
        <v>18-35</v>
      </c>
      <c r="D221" t="s">
        <v>45</v>
      </c>
      <c r="E221" s="2">
        <v>45095</v>
      </c>
      <c r="F221" s="2" t="str">
        <f t="shared" ca="1" si="16"/>
        <v>No</v>
      </c>
      <c r="G221" s="2" t="str">
        <f t="shared" si="17"/>
        <v>Jun-2023</v>
      </c>
      <c r="H221" s="2">
        <v>45097</v>
      </c>
      <c r="I221">
        <v>2</v>
      </c>
      <c r="J221" t="s">
        <v>57</v>
      </c>
      <c r="K221">
        <v>5</v>
      </c>
      <c r="L221" t="s">
        <v>66</v>
      </c>
      <c r="M221" s="9">
        <v>33314</v>
      </c>
      <c r="N221" t="s">
        <v>25</v>
      </c>
      <c r="O221" t="s">
        <v>54</v>
      </c>
      <c r="P221" t="s">
        <v>41</v>
      </c>
      <c r="Q221" s="2">
        <v>45091</v>
      </c>
      <c r="R221" s="13">
        <f t="shared" si="18"/>
        <v>360</v>
      </c>
      <c r="S221" s="13">
        <f t="shared" si="19"/>
        <v>-1796.993987975749</v>
      </c>
      <c r="T221" s="2">
        <v>45091.25</v>
      </c>
      <c r="U221" t="s">
        <v>64</v>
      </c>
      <c r="V221" t="s">
        <v>29</v>
      </c>
      <c r="W221" t="s">
        <v>47</v>
      </c>
      <c r="X221">
        <v>6</v>
      </c>
      <c r="Y221">
        <v>8</v>
      </c>
      <c r="Z221" t="s">
        <v>31</v>
      </c>
    </row>
    <row r="222" spans="1:26">
      <c r="A222" t="s">
        <v>279</v>
      </c>
      <c r="B222">
        <v>69</v>
      </c>
      <c r="C222" t="str">
        <f t="shared" si="15"/>
        <v>66+</v>
      </c>
      <c r="D222" t="s">
        <v>22</v>
      </c>
      <c r="E222" s="2">
        <v>45315</v>
      </c>
      <c r="F222" s="2" t="str">
        <f t="shared" ca="1" si="16"/>
        <v>No</v>
      </c>
      <c r="G222" s="2" t="str">
        <f t="shared" si="17"/>
        <v>Jan-2024</v>
      </c>
      <c r="H222" s="2">
        <v>45414</v>
      </c>
      <c r="I222">
        <v>12</v>
      </c>
      <c r="J222" t="s">
        <v>63</v>
      </c>
      <c r="K222">
        <v>3</v>
      </c>
      <c r="L222" t="s">
        <v>35</v>
      </c>
      <c r="M222" s="9">
        <v>33583</v>
      </c>
      <c r="N222" t="s">
        <v>25</v>
      </c>
      <c r="O222" t="s">
        <v>54</v>
      </c>
      <c r="P222" t="s">
        <v>27</v>
      </c>
      <c r="Q222" s="2">
        <v>45312</v>
      </c>
      <c r="R222" s="13">
        <f t="shared" si="18"/>
        <v>419.99999999650754</v>
      </c>
      <c r="S222" s="13">
        <f t="shared" si="19"/>
        <v>-1793.7474949897769</v>
      </c>
      <c r="T222" s="2">
        <v>45312.291666666664</v>
      </c>
      <c r="U222" t="s">
        <v>42</v>
      </c>
      <c r="V222" t="s">
        <v>29</v>
      </c>
      <c r="W222" t="s">
        <v>47</v>
      </c>
      <c r="X222">
        <v>4</v>
      </c>
      <c r="Y222">
        <v>10</v>
      </c>
      <c r="Z222" t="s">
        <v>68</v>
      </c>
    </row>
    <row r="223" spans="1:26">
      <c r="A223" t="s">
        <v>280</v>
      </c>
      <c r="B223">
        <v>70</v>
      </c>
      <c r="C223" t="str">
        <f t="shared" si="15"/>
        <v>66+</v>
      </c>
      <c r="D223" t="s">
        <v>52</v>
      </c>
      <c r="E223" s="2">
        <v>44986</v>
      </c>
      <c r="F223" s="2" t="str">
        <f t="shared" ca="1" si="16"/>
        <v>No</v>
      </c>
      <c r="G223" s="2" t="str">
        <f t="shared" si="17"/>
        <v>Mar-2023</v>
      </c>
      <c r="H223" s="2">
        <v>44941</v>
      </c>
      <c r="I223">
        <v>12</v>
      </c>
      <c r="J223" t="s">
        <v>34</v>
      </c>
      <c r="K223">
        <v>3</v>
      </c>
      <c r="L223" t="s">
        <v>66</v>
      </c>
      <c r="M223" s="9">
        <v>26550</v>
      </c>
      <c r="N223" t="s">
        <v>25</v>
      </c>
      <c r="O223" t="s">
        <v>54</v>
      </c>
      <c r="P223" t="s">
        <v>27</v>
      </c>
      <c r="Q223" s="2">
        <v>44926</v>
      </c>
      <c r="R223" s="13">
        <f t="shared" si="18"/>
        <v>959.99999999650754</v>
      </c>
      <c r="S223" s="13">
        <f t="shared" si="19"/>
        <v>-1791.3426853705316</v>
      </c>
      <c r="T223" s="2">
        <v>44926.666666666664</v>
      </c>
      <c r="U223" t="s">
        <v>64</v>
      </c>
      <c r="V223" t="s">
        <v>29</v>
      </c>
      <c r="W223" t="s">
        <v>43</v>
      </c>
      <c r="X223">
        <v>10</v>
      </c>
      <c r="Y223">
        <v>8</v>
      </c>
      <c r="Z223" t="s">
        <v>31</v>
      </c>
    </row>
    <row r="224" spans="1:26">
      <c r="A224" t="s">
        <v>281</v>
      </c>
      <c r="B224">
        <v>86</v>
      </c>
      <c r="C224" t="str">
        <f t="shared" si="15"/>
        <v>66+</v>
      </c>
      <c r="D224" t="s">
        <v>41</v>
      </c>
      <c r="E224" s="2">
        <v>45384</v>
      </c>
      <c r="F224" s="2" t="str">
        <f t="shared" ca="1" si="16"/>
        <v>No</v>
      </c>
      <c r="G224" s="2" t="str">
        <f t="shared" si="17"/>
        <v>Apr-2024</v>
      </c>
      <c r="H224" s="2">
        <v>45567</v>
      </c>
      <c r="I224">
        <v>6</v>
      </c>
      <c r="J224" t="s">
        <v>57</v>
      </c>
      <c r="K224">
        <v>5</v>
      </c>
      <c r="L224" t="s">
        <v>35</v>
      </c>
      <c r="M224" s="9">
        <v>5093</v>
      </c>
      <c r="N224" t="s">
        <v>53</v>
      </c>
      <c r="O224" t="s">
        <v>54</v>
      </c>
      <c r="P224" t="s">
        <v>41</v>
      </c>
      <c r="Q224" s="2">
        <v>45324</v>
      </c>
      <c r="R224" s="13">
        <f t="shared" si="18"/>
        <v>42899.999999996508</v>
      </c>
      <c r="S224" s="13">
        <f t="shared" si="19"/>
        <v>-1706.2124248494895</v>
      </c>
      <c r="T224" s="2">
        <v>45353.791666666664</v>
      </c>
      <c r="U224" t="s">
        <v>37</v>
      </c>
      <c r="V224" t="s">
        <v>29</v>
      </c>
      <c r="W224" t="s">
        <v>30</v>
      </c>
      <c r="X224">
        <v>9</v>
      </c>
      <c r="Y224">
        <v>12</v>
      </c>
      <c r="Z224" t="s">
        <v>68</v>
      </c>
    </row>
    <row r="225" spans="1:26">
      <c r="A225" t="s">
        <v>282</v>
      </c>
      <c r="B225">
        <v>11</v>
      </c>
      <c r="C225" t="str">
        <f t="shared" si="15"/>
        <v>0-17</v>
      </c>
      <c r="D225" t="s">
        <v>62</v>
      </c>
      <c r="E225" s="2">
        <v>45198</v>
      </c>
      <c r="F225" s="2" t="str">
        <f t="shared" ca="1" si="16"/>
        <v>No</v>
      </c>
      <c r="G225" s="2" t="str">
        <f t="shared" si="17"/>
        <v>Sep-2023</v>
      </c>
      <c r="H225" s="2">
        <v>45270</v>
      </c>
      <c r="I225">
        <v>13</v>
      </c>
      <c r="J225" t="s">
        <v>34</v>
      </c>
      <c r="K225">
        <v>2</v>
      </c>
      <c r="L225" t="s">
        <v>71</v>
      </c>
      <c r="M225" s="9">
        <v>40755</v>
      </c>
      <c r="N225" t="s">
        <v>36</v>
      </c>
      <c r="O225" t="s">
        <v>54</v>
      </c>
      <c r="P225" t="s">
        <v>27</v>
      </c>
      <c r="Q225" s="2">
        <v>45195</v>
      </c>
      <c r="R225" s="13">
        <f t="shared" si="18"/>
        <v>2579.9999999965075</v>
      </c>
      <c r="S225" s="13">
        <f t="shared" si="19"/>
        <v>-1703.0861723444725</v>
      </c>
      <c r="T225" s="2">
        <v>45196.791666666664</v>
      </c>
      <c r="U225" t="s">
        <v>42</v>
      </c>
      <c r="V225" t="s">
        <v>29</v>
      </c>
      <c r="W225" t="s">
        <v>43</v>
      </c>
      <c r="X225">
        <v>8</v>
      </c>
      <c r="Y225">
        <v>10</v>
      </c>
      <c r="Z225" t="s">
        <v>48</v>
      </c>
    </row>
    <row r="226" spans="1:26">
      <c r="A226" t="s">
        <v>283</v>
      </c>
      <c r="B226">
        <v>16</v>
      </c>
      <c r="C226" t="str">
        <f t="shared" si="15"/>
        <v>0-17</v>
      </c>
      <c r="D226" t="s">
        <v>45</v>
      </c>
      <c r="E226" s="2">
        <v>45569</v>
      </c>
      <c r="F226" s="2" t="str">
        <f t="shared" ca="1" si="16"/>
        <v>No</v>
      </c>
      <c r="G226" s="2" t="str">
        <f t="shared" si="17"/>
        <v>Oct-2024</v>
      </c>
      <c r="H226" s="2">
        <v>45395</v>
      </c>
      <c r="I226">
        <v>3</v>
      </c>
      <c r="J226" t="s">
        <v>23</v>
      </c>
      <c r="K226">
        <v>3</v>
      </c>
      <c r="L226" t="s">
        <v>66</v>
      </c>
      <c r="M226" s="9">
        <v>14967</v>
      </c>
      <c r="N226" t="s">
        <v>25</v>
      </c>
      <c r="O226" t="s">
        <v>54</v>
      </c>
      <c r="P226" t="s">
        <v>27</v>
      </c>
      <c r="Q226" s="2">
        <v>45569</v>
      </c>
      <c r="R226" s="13">
        <f t="shared" si="18"/>
        <v>1380.0000000034925</v>
      </c>
      <c r="S226" s="13">
        <f t="shared" si="19"/>
        <v>-1705.1302605208111</v>
      </c>
      <c r="T226" s="2">
        <v>45569.958333333336</v>
      </c>
      <c r="U226" t="s">
        <v>42</v>
      </c>
      <c r="V226" t="s">
        <v>29</v>
      </c>
      <c r="W226" t="s">
        <v>47</v>
      </c>
      <c r="X226">
        <v>6</v>
      </c>
      <c r="Y226">
        <v>12</v>
      </c>
      <c r="Z226" t="s">
        <v>48</v>
      </c>
    </row>
    <row r="227" spans="1:26">
      <c r="A227" t="s">
        <v>284</v>
      </c>
      <c r="B227">
        <v>73</v>
      </c>
      <c r="C227" t="str">
        <f t="shared" si="15"/>
        <v>66+</v>
      </c>
      <c r="D227" t="s">
        <v>22</v>
      </c>
      <c r="E227" s="2">
        <v>45219</v>
      </c>
      <c r="F227" s="2" t="str">
        <f t="shared" ca="1" si="16"/>
        <v>No</v>
      </c>
      <c r="G227" s="2" t="str">
        <f t="shared" si="17"/>
        <v>Oct-2023</v>
      </c>
      <c r="H227" s="2">
        <v>45228</v>
      </c>
      <c r="I227">
        <v>9</v>
      </c>
      <c r="J227" t="s">
        <v>50</v>
      </c>
      <c r="K227">
        <v>5</v>
      </c>
      <c r="L227" t="s">
        <v>71</v>
      </c>
      <c r="M227" s="9">
        <v>21218</v>
      </c>
      <c r="N227" t="s">
        <v>67</v>
      </c>
      <c r="O227" t="s">
        <v>54</v>
      </c>
      <c r="P227" t="s">
        <v>27</v>
      </c>
      <c r="Q227" s="2">
        <v>45219</v>
      </c>
      <c r="R227" s="13">
        <f t="shared" si="18"/>
        <v>660.00000000349246</v>
      </c>
      <c r="S227" s="13">
        <f t="shared" si="19"/>
        <v>-1707.1743486971709</v>
      </c>
      <c r="T227" s="2">
        <v>45219.458333333336</v>
      </c>
      <c r="U227" t="s">
        <v>37</v>
      </c>
      <c r="V227" t="s">
        <v>29</v>
      </c>
      <c r="W227" t="s">
        <v>43</v>
      </c>
      <c r="X227">
        <v>10</v>
      </c>
      <c r="Y227">
        <v>10</v>
      </c>
      <c r="Z227" t="s">
        <v>48</v>
      </c>
    </row>
    <row r="228" spans="1:26">
      <c r="A228" t="s">
        <v>285</v>
      </c>
      <c r="B228">
        <v>59</v>
      </c>
      <c r="C228" t="str">
        <f t="shared" si="15"/>
        <v>51-65</v>
      </c>
      <c r="D228" t="s">
        <v>33</v>
      </c>
      <c r="E228" s="2">
        <v>45538</v>
      </c>
      <c r="F228" s="2" t="str">
        <f t="shared" ca="1" si="16"/>
        <v>No</v>
      </c>
      <c r="G228" s="2" t="str">
        <f t="shared" si="17"/>
        <v>Sep-2024</v>
      </c>
      <c r="H228" s="2">
        <v>45568</v>
      </c>
      <c r="I228">
        <v>1</v>
      </c>
      <c r="J228" t="s">
        <v>50</v>
      </c>
      <c r="K228">
        <v>2</v>
      </c>
      <c r="L228" t="s">
        <v>71</v>
      </c>
      <c r="M228" s="9">
        <v>48220</v>
      </c>
      <c r="N228" t="s">
        <v>25</v>
      </c>
      <c r="O228" t="s">
        <v>54</v>
      </c>
      <c r="P228" t="s">
        <v>27</v>
      </c>
      <c r="Q228" s="2">
        <v>45446</v>
      </c>
      <c r="R228" s="13">
        <f t="shared" si="18"/>
        <v>44280</v>
      </c>
      <c r="S228" s="13">
        <f t="shared" si="19"/>
        <v>-1703.5671342683131</v>
      </c>
      <c r="T228" s="2">
        <v>45476.75</v>
      </c>
      <c r="U228" t="s">
        <v>37</v>
      </c>
      <c r="V228" t="s">
        <v>29</v>
      </c>
      <c r="W228" t="s">
        <v>30</v>
      </c>
      <c r="X228">
        <v>7</v>
      </c>
      <c r="Y228">
        <v>10</v>
      </c>
      <c r="Z228" t="s">
        <v>48</v>
      </c>
    </row>
    <row r="229" spans="1:26">
      <c r="A229" t="s">
        <v>286</v>
      </c>
      <c r="B229">
        <v>70</v>
      </c>
      <c r="C229" t="str">
        <f t="shared" si="15"/>
        <v>66+</v>
      </c>
      <c r="D229" t="s">
        <v>52</v>
      </c>
      <c r="E229" s="2">
        <v>45425</v>
      </c>
      <c r="F229" s="2" t="str">
        <f t="shared" ca="1" si="16"/>
        <v>No</v>
      </c>
      <c r="G229" s="2" t="str">
        <f t="shared" si="17"/>
        <v>May-2024</v>
      </c>
      <c r="H229" s="2">
        <v>45435</v>
      </c>
      <c r="I229">
        <v>10</v>
      </c>
      <c r="J229" t="s">
        <v>50</v>
      </c>
      <c r="K229">
        <v>2</v>
      </c>
      <c r="L229" t="s">
        <v>24</v>
      </c>
      <c r="M229" s="9">
        <v>13627</v>
      </c>
      <c r="N229" t="s">
        <v>60</v>
      </c>
      <c r="O229" t="s">
        <v>54</v>
      </c>
      <c r="P229" t="s">
        <v>41</v>
      </c>
      <c r="Q229" s="2">
        <v>45540</v>
      </c>
      <c r="R229" s="13">
        <f t="shared" si="18"/>
        <v>44159.999999996508</v>
      </c>
      <c r="S229" s="13">
        <f t="shared" si="19"/>
        <v>-1704.4088176350397</v>
      </c>
      <c r="T229" s="2">
        <v>45570.666666666664</v>
      </c>
      <c r="U229" t="s">
        <v>28</v>
      </c>
      <c r="V229" t="s">
        <v>29</v>
      </c>
      <c r="W229" t="s">
        <v>30</v>
      </c>
      <c r="X229">
        <v>6</v>
      </c>
      <c r="Y229">
        <v>12</v>
      </c>
      <c r="Z229" t="s">
        <v>48</v>
      </c>
    </row>
    <row r="230" spans="1:26">
      <c r="A230" t="s">
        <v>287</v>
      </c>
      <c r="B230">
        <v>80</v>
      </c>
      <c r="C230" t="str">
        <f t="shared" si="15"/>
        <v>66+</v>
      </c>
      <c r="D230" t="s">
        <v>22</v>
      </c>
      <c r="E230" s="2">
        <v>45144</v>
      </c>
      <c r="F230" s="2" t="str">
        <f t="shared" ca="1" si="16"/>
        <v>No</v>
      </c>
      <c r="G230" s="2" t="str">
        <f t="shared" si="17"/>
        <v>Aug-2023</v>
      </c>
      <c r="H230" s="2">
        <v>45094</v>
      </c>
      <c r="I230">
        <v>9</v>
      </c>
      <c r="J230" t="s">
        <v>34</v>
      </c>
      <c r="K230">
        <v>4</v>
      </c>
      <c r="L230" t="s">
        <v>35</v>
      </c>
      <c r="M230" s="9">
        <v>9947</v>
      </c>
      <c r="N230" t="s">
        <v>25</v>
      </c>
      <c r="O230" t="s">
        <v>54</v>
      </c>
      <c r="P230" t="s">
        <v>41</v>
      </c>
      <c r="Q230" s="2">
        <v>45052</v>
      </c>
      <c r="R230" s="13">
        <f t="shared" si="18"/>
        <v>180</v>
      </c>
      <c r="S230" s="13">
        <f t="shared" si="19"/>
        <v>-1788.6973947893341</v>
      </c>
      <c r="T230" s="2">
        <v>45052.125</v>
      </c>
      <c r="U230" t="s">
        <v>55</v>
      </c>
      <c r="V230" t="s">
        <v>29</v>
      </c>
      <c r="W230" t="s">
        <v>47</v>
      </c>
      <c r="X230">
        <v>8</v>
      </c>
      <c r="Y230">
        <v>10</v>
      </c>
      <c r="Z230" t="s">
        <v>31</v>
      </c>
    </row>
    <row r="231" spans="1:26">
      <c r="A231" t="s">
        <v>288</v>
      </c>
      <c r="B231">
        <v>3</v>
      </c>
      <c r="C231" t="str">
        <f t="shared" si="15"/>
        <v>0-17</v>
      </c>
      <c r="D231" t="s">
        <v>33</v>
      </c>
      <c r="E231" s="2">
        <v>45121</v>
      </c>
      <c r="F231" s="2" t="str">
        <f t="shared" ca="1" si="16"/>
        <v>No</v>
      </c>
      <c r="G231" s="2" t="str">
        <f t="shared" si="17"/>
        <v>Jul-2023</v>
      </c>
      <c r="H231" s="2">
        <v>45130</v>
      </c>
      <c r="I231">
        <v>9</v>
      </c>
      <c r="J231" t="s">
        <v>57</v>
      </c>
      <c r="K231">
        <v>2</v>
      </c>
      <c r="L231" t="s">
        <v>46</v>
      </c>
      <c r="M231" s="9">
        <v>44419</v>
      </c>
      <c r="N231" t="s">
        <v>53</v>
      </c>
      <c r="O231" t="s">
        <v>26</v>
      </c>
      <c r="P231" t="s">
        <v>27</v>
      </c>
      <c r="Q231" s="2">
        <v>45120</v>
      </c>
      <c r="R231" s="13">
        <f t="shared" si="18"/>
        <v>2219.9999999965075</v>
      </c>
      <c r="S231" s="13">
        <f t="shared" si="19"/>
        <v>-1784.24849699375</v>
      </c>
      <c r="T231" s="2">
        <v>45121.541666666664</v>
      </c>
      <c r="U231" t="s">
        <v>42</v>
      </c>
      <c r="V231" t="s">
        <v>38</v>
      </c>
      <c r="W231" t="s">
        <v>47</v>
      </c>
      <c r="X231">
        <v>10</v>
      </c>
      <c r="Y231">
        <v>12</v>
      </c>
      <c r="Z231" t="s">
        <v>48</v>
      </c>
    </row>
    <row r="232" spans="1:26">
      <c r="A232" t="s">
        <v>289</v>
      </c>
      <c r="B232">
        <v>20</v>
      </c>
      <c r="C232" t="str">
        <f t="shared" si="15"/>
        <v>18-35</v>
      </c>
      <c r="D232" t="s">
        <v>22</v>
      </c>
      <c r="E232" s="2">
        <v>45230</v>
      </c>
      <c r="F232" s="2" t="str">
        <f t="shared" ca="1" si="16"/>
        <v>No</v>
      </c>
      <c r="G232" s="2" t="str">
        <f t="shared" si="17"/>
        <v>Oct-2023</v>
      </c>
      <c r="H232" s="2">
        <v>45088</v>
      </c>
      <c r="I232">
        <v>6</v>
      </c>
      <c r="J232" t="s">
        <v>50</v>
      </c>
      <c r="K232">
        <v>3</v>
      </c>
      <c r="L232" t="s">
        <v>35</v>
      </c>
      <c r="M232" s="9">
        <v>28178</v>
      </c>
      <c r="N232" t="s">
        <v>25</v>
      </c>
      <c r="O232" t="s">
        <v>54</v>
      </c>
      <c r="P232" t="s">
        <v>27</v>
      </c>
      <c r="Q232" s="2">
        <v>45229</v>
      </c>
      <c r="R232" s="13">
        <f t="shared" si="18"/>
        <v>2520</v>
      </c>
      <c r="S232" s="13">
        <f t="shared" si="19"/>
        <v>-1787.494989979722</v>
      </c>
      <c r="T232" s="2">
        <v>45230.75</v>
      </c>
      <c r="U232" t="s">
        <v>42</v>
      </c>
      <c r="V232" t="s">
        <v>29</v>
      </c>
      <c r="W232" t="s">
        <v>43</v>
      </c>
      <c r="X232">
        <v>9</v>
      </c>
      <c r="Y232">
        <v>12</v>
      </c>
      <c r="Z232" t="s">
        <v>48</v>
      </c>
    </row>
    <row r="233" spans="1:26">
      <c r="A233" t="s">
        <v>290</v>
      </c>
      <c r="B233">
        <v>59</v>
      </c>
      <c r="C233" t="str">
        <f t="shared" si="15"/>
        <v>51-65</v>
      </c>
      <c r="D233" t="s">
        <v>45</v>
      </c>
      <c r="E233" s="2">
        <v>45238</v>
      </c>
      <c r="F233" s="2" t="str">
        <f t="shared" ca="1" si="16"/>
        <v>No</v>
      </c>
      <c r="G233" s="2" t="str">
        <f t="shared" si="17"/>
        <v>Nov-2023</v>
      </c>
      <c r="H233" s="2">
        <v>45160</v>
      </c>
      <c r="I233">
        <v>11</v>
      </c>
      <c r="J233" t="s">
        <v>57</v>
      </c>
      <c r="K233">
        <v>3</v>
      </c>
      <c r="L233" t="s">
        <v>46</v>
      </c>
      <c r="M233" s="9">
        <v>33876</v>
      </c>
      <c r="N233" t="s">
        <v>60</v>
      </c>
      <c r="O233" t="s">
        <v>54</v>
      </c>
      <c r="P233" t="s">
        <v>27</v>
      </c>
      <c r="Q233" s="2">
        <v>45115</v>
      </c>
      <c r="R233" s="13">
        <f t="shared" si="18"/>
        <v>45840.000000003492</v>
      </c>
      <c r="S233" s="13">
        <f t="shared" si="19"/>
        <v>-1790.3807615228081</v>
      </c>
      <c r="T233" s="2">
        <v>45146.833333333336</v>
      </c>
      <c r="U233" t="s">
        <v>37</v>
      </c>
      <c r="V233" t="s">
        <v>29</v>
      </c>
      <c r="W233" t="s">
        <v>47</v>
      </c>
      <c r="X233">
        <v>11</v>
      </c>
      <c r="Y233">
        <v>8</v>
      </c>
      <c r="Z233" t="s">
        <v>48</v>
      </c>
    </row>
    <row r="234" spans="1:26">
      <c r="A234" t="s">
        <v>291</v>
      </c>
      <c r="B234">
        <v>36</v>
      </c>
      <c r="C234" t="str">
        <f t="shared" si="15"/>
        <v>36-50</v>
      </c>
      <c r="D234" t="s">
        <v>45</v>
      </c>
      <c r="E234" s="2">
        <v>44929</v>
      </c>
      <c r="F234" s="2" t="str">
        <f t="shared" ca="1" si="16"/>
        <v>No</v>
      </c>
      <c r="G234" s="2" t="str">
        <f t="shared" si="17"/>
        <v>Jan-2023</v>
      </c>
      <c r="H234" s="2">
        <v>44988</v>
      </c>
      <c r="I234">
        <v>2</v>
      </c>
      <c r="J234" t="s">
        <v>34</v>
      </c>
      <c r="K234">
        <v>5</v>
      </c>
      <c r="L234" t="s">
        <v>35</v>
      </c>
      <c r="M234" s="9">
        <v>27908</v>
      </c>
      <c r="N234" t="s">
        <v>67</v>
      </c>
      <c r="O234" t="s">
        <v>54</v>
      </c>
      <c r="P234" t="s">
        <v>27</v>
      </c>
      <c r="Q234" s="2">
        <v>44984</v>
      </c>
      <c r="R234" s="13">
        <f t="shared" si="18"/>
        <v>2520</v>
      </c>
      <c r="S234" s="13">
        <f t="shared" si="19"/>
        <v>-1881.5230460919533</v>
      </c>
      <c r="T234" s="2">
        <v>44985.75</v>
      </c>
      <c r="U234" t="s">
        <v>37</v>
      </c>
      <c r="V234" t="s">
        <v>29</v>
      </c>
      <c r="W234" t="s">
        <v>43</v>
      </c>
      <c r="X234">
        <v>4</v>
      </c>
      <c r="Y234">
        <v>12</v>
      </c>
      <c r="Z234" t="s">
        <v>48</v>
      </c>
    </row>
    <row r="235" spans="1:26">
      <c r="A235" t="s">
        <v>292</v>
      </c>
      <c r="B235">
        <v>19</v>
      </c>
      <c r="C235" t="str">
        <f t="shared" si="15"/>
        <v>18-35</v>
      </c>
      <c r="D235" t="s">
        <v>45</v>
      </c>
      <c r="E235" s="2">
        <v>45019</v>
      </c>
      <c r="F235" s="2" t="str">
        <f t="shared" ca="1" si="16"/>
        <v>No</v>
      </c>
      <c r="G235" s="2" t="str">
        <f t="shared" si="17"/>
        <v>Apr-2023</v>
      </c>
      <c r="H235" s="2">
        <v>45233</v>
      </c>
      <c r="I235">
        <v>7</v>
      </c>
      <c r="J235" t="s">
        <v>23</v>
      </c>
      <c r="K235">
        <v>5</v>
      </c>
      <c r="L235" t="s">
        <v>71</v>
      </c>
      <c r="M235" s="9">
        <v>40912</v>
      </c>
      <c r="N235" t="s">
        <v>36</v>
      </c>
      <c r="O235" t="s">
        <v>54</v>
      </c>
      <c r="P235" t="s">
        <v>27</v>
      </c>
      <c r="Q235" s="2">
        <v>45019</v>
      </c>
      <c r="R235" s="13">
        <f t="shared" si="18"/>
        <v>43320.000000003492</v>
      </c>
      <c r="S235" s="13">
        <f t="shared" si="19"/>
        <v>-1884.1683366731088</v>
      </c>
      <c r="T235" s="2">
        <v>45049.083333333336</v>
      </c>
      <c r="U235" t="s">
        <v>55</v>
      </c>
      <c r="V235" t="s">
        <v>29</v>
      </c>
      <c r="W235" t="s">
        <v>30</v>
      </c>
      <c r="X235">
        <v>8</v>
      </c>
      <c r="Y235">
        <v>8</v>
      </c>
      <c r="Z235" t="s">
        <v>68</v>
      </c>
    </row>
    <row r="236" spans="1:26">
      <c r="A236" t="s">
        <v>293</v>
      </c>
      <c r="B236">
        <v>67</v>
      </c>
      <c r="C236" t="str">
        <f t="shared" si="15"/>
        <v>66+</v>
      </c>
      <c r="D236" t="s">
        <v>41</v>
      </c>
      <c r="E236" s="2">
        <v>45248</v>
      </c>
      <c r="F236" s="2" t="str">
        <f t="shared" ca="1" si="16"/>
        <v>No</v>
      </c>
      <c r="G236" s="2" t="str">
        <f t="shared" si="17"/>
        <v>Nov-2023</v>
      </c>
      <c r="H236" s="2">
        <v>45254</v>
      </c>
      <c r="I236">
        <v>6</v>
      </c>
      <c r="J236" t="s">
        <v>57</v>
      </c>
      <c r="K236">
        <v>2</v>
      </c>
      <c r="L236" t="s">
        <v>66</v>
      </c>
      <c r="M236" s="9">
        <v>24971</v>
      </c>
      <c r="N236" t="s">
        <v>25</v>
      </c>
      <c r="O236" t="s">
        <v>54</v>
      </c>
      <c r="P236" t="s">
        <v>27</v>
      </c>
      <c r="Q236" s="2">
        <v>45248</v>
      </c>
      <c r="R236" s="13">
        <f t="shared" si="18"/>
        <v>1319.9999999965075</v>
      </c>
      <c r="S236" s="13">
        <f t="shared" si="19"/>
        <v>-1970.2605210418533</v>
      </c>
      <c r="T236" s="2">
        <v>45248.916666666664</v>
      </c>
      <c r="U236" t="s">
        <v>37</v>
      </c>
      <c r="V236" t="s">
        <v>29</v>
      </c>
      <c r="W236" t="s">
        <v>30</v>
      </c>
      <c r="X236">
        <v>10</v>
      </c>
      <c r="Y236">
        <v>12</v>
      </c>
      <c r="Z236" t="s">
        <v>48</v>
      </c>
    </row>
    <row r="237" spans="1:26">
      <c r="A237" t="s">
        <v>294</v>
      </c>
      <c r="B237">
        <v>19</v>
      </c>
      <c r="C237" t="str">
        <f t="shared" si="15"/>
        <v>18-35</v>
      </c>
      <c r="D237" t="s">
        <v>41</v>
      </c>
      <c r="E237" s="2">
        <v>44985</v>
      </c>
      <c r="F237" s="2" t="str">
        <f t="shared" ca="1" si="16"/>
        <v>No</v>
      </c>
      <c r="G237" s="2" t="str">
        <f t="shared" si="17"/>
        <v>Feb-2023</v>
      </c>
      <c r="H237" s="2">
        <v>44999</v>
      </c>
      <c r="I237">
        <v>14</v>
      </c>
      <c r="J237" t="s">
        <v>23</v>
      </c>
      <c r="K237">
        <v>1</v>
      </c>
      <c r="L237" t="s">
        <v>66</v>
      </c>
      <c r="M237" s="9">
        <v>37584</v>
      </c>
      <c r="N237" t="s">
        <v>60</v>
      </c>
      <c r="O237" t="s">
        <v>54</v>
      </c>
      <c r="P237" t="s">
        <v>27</v>
      </c>
      <c r="Q237" s="2">
        <v>44983</v>
      </c>
      <c r="R237" s="13">
        <f t="shared" si="18"/>
        <v>1679.9999999965075</v>
      </c>
      <c r="S237" s="13">
        <f t="shared" si="19"/>
        <v>-1968.937875751265</v>
      </c>
      <c r="T237" s="2">
        <v>44984.166666666664</v>
      </c>
      <c r="U237" t="s">
        <v>64</v>
      </c>
      <c r="V237" t="s">
        <v>38</v>
      </c>
      <c r="W237" t="s">
        <v>30</v>
      </c>
      <c r="X237">
        <v>9</v>
      </c>
      <c r="Y237">
        <v>10</v>
      </c>
      <c r="Z237" t="s">
        <v>48</v>
      </c>
    </row>
    <row r="238" spans="1:26">
      <c r="A238" t="s">
        <v>295</v>
      </c>
      <c r="B238">
        <v>20</v>
      </c>
      <c r="C238" t="str">
        <f t="shared" si="15"/>
        <v>18-35</v>
      </c>
      <c r="D238" t="s">
        <v>52</v>
      </c>
      <c r="E238" s="2">
        <v>44978</v>
      </c>
      <c r="F238" s="2" t="str">
        <f t="shared" ca="1" si="16"/>
        <v>No</v>
      </c>
      <c r="G238" s="2" t="str">
        <f t="shared" si="17"/>
        <v>Feb-2023</v>
      </c>
      <c r="H238" s="2">
        <v>45019</v>
      </c>
      <c r="I238">
        <v>11</v>
      </c>
      <c r="J238" t="s">
        <v>34</v>
      </c>
      <c r="K238">
        <v>4</v>
      </c>
      <c r="L238" t="s">
        <v>24</v>
      </c>
      <c r="M238" s="9">
        <v>13959</v>
      </c>
      <c r="N238" t="s">
        <v>60</v>
      </c>
      <c r="O238" t="s">
        <v>54</v>
      </c>
      <c r="P238" t="s">
        <v>27</v>
      </c>
      <c r="Q238" s="2">
        <v>44975</v>
      </c>
      <c r="R238" s="13">
        <f t="shared" si="18"/>
        <v>419.99999999650754</v>
      </c>
      <c r="S238" s="13">
        <f t="shared" si="19"/>
        <v>-1970.6212424847179</v>
      </c>
      <c r="T238" s="2">
        <v>44975.291666666664</v>
      </c>
      <c r="U238" t="s">
        <v>64</v>
      </c>
      <c r="V238" t="s">
        <v>38</v>
      </c>
      <c r="W238" t="s">
        <v>30</v>
      </c>
      <c r="X238">
        <v>7</v>
      </c>
      <c r="Y238">
        <v>12</v>
      </c>
      <c r="Z238" t="s">
        <v>31</v>
      </c>
    </row>
    <row r="239" spans="1:26">
      <c r="A239" t="s">
        <v>296</v>
      </c>
      <c r="B239">
        <v>71</v>
      </c>
      <c r="C239" t="str">
        <f t="shared" si="15"/>
        <v>66+</v>
      </c>
      <c r="D239" t="s">
        <v>45</v>
      </c>
      <c r="E239" s="2">
        <v>45356</v>
      </c>
      <c r="F239" s="2" t="str">
        <f t="shared" ca="1" si="16"/>
        <v>No</v>
      </c>
      <c r="G239" s="2" t="str">
        <f t="shared" si="17"/>
        <v>Mar-2024</v>
      </c>
      <c r="H239" s="2">
        <v>45428</v>
      </c>
      <c r="I239">
        <v>13</v>
      </c>
      <c r="J239" t="s">
        <v>34</v>
      </c>
      <c r="K239">
        <v>1</v>
      </c>
      <c r="L239" t="s">
        <v>46</v>
      </c>
      <c r="M239" s="9">
        <v>33261</v>
      </c>
      <c r="N239" t="s">
        <v>67</v>
      </c>
      <c r="O239" t="s">
        <v>26</v>
      </c>
      <c r="P239" t="s">
        <v>41</v>
      </c>
      <c r="Q239" s="2">
        <v>45411</v>
      </c>
      <c r="R239" s="13">
        <f t="shared" si="18"/>
        <v>59.99999999650754</v>
      </c>
      <c r="S239" s="13">
        <f t="shared" si="19"/>
        <v>-1970.2605210418321</v>
      </c>
      <c r="T239" s="2">
        <v>45411.041666666664</v>
      </c>
      <c r="U239" t="s">
        <v>64</v>
      </c>
      <c r="V239" t="s">
        <v>29</v>
      </c>
      <c r="W239" t="s">
        <v>30</v>
      </c>
      <c r="X239">
        <v>8</v>
      </c>
      <c r="Y239">
        <v>10</v>
      </c>
      <c r="Z239" t="s">
        <v>68</v>
      </c>
    </row>
    <row r="240" spans="1:26">
      <c r="A240" t="s">
        <v>297</v>
      </c>
      <c r="B240">
        <v>52</v>
      </c>
      <c r="C240" t="str">
        <f t="shared" si="15"/>
        <v>51-65</v>
      </c>
      <c r="D240" t="s">
        <v>33</v>
      </c>
      <c r="E240" s="2">
        <v>45441</v>
      </c>
      <c r="F240" s="2" t="str">
        <f t="shared" ca="1" si="16"/>
        <v>No</v>
      </c>
      <c r="G240" s="2" t="str">
        <f t="shared" si="17"/>
        <v>May-2024</v>
      </c>
      <c r="H240" s="2">
        <v>45418</v>
      </c>
      <c r="I240">
        <v>7</v>
      </c>
      <c r="J240" t="s">
        <v>63</v>
      </c>
      <c r="K240">
        <v>2</v>
      </c>
      <c r="L240" t="s">
        <v>46</v>
      </c>
      <c r="M240" s="9">
        <v>46065</v>
      </c>
      <c r="N240" t="s">
        <v>53</v>
      </c>
      <c r="O240" t="s">
        <v>54</v>
      </c>
      <c r="P240" t="s">
        <v>27</v>
      </c>
      <c r="Q240" s="2">
        <v>45436</v>
      </c>
      <c r="R240" s="13">
        <f t="shared" si="18"/>
        <v>419.99999999650754</v>
      </c>
      <c r="S240" s="13">
        <f t="shared" si="19"/>
        <v>-1966.1723446891128</v>
      </c>
      <c r="T240" s="2">
        <v>45436.291666666664</v>
      </c>
      <c r="U240" t="s">
        <v>64</v>
      </c>
      <c r="V240" t="s">
        <v>38</v>
      </c>
      <c r="W240" t="s">
        <v>43</v>
      </c>
      <c r="X240">
        <v>11</v>
      </c>
      <c r="Y240">
        <v>8</v>
      </c>
      <c r="Z240" t="s">
        <v>31</v>
      </c>
    </row>
    <row r="241" spans="1:26">
      <c r="A241" t="s">
        <v>298</v>
      </c>
      <c r="B241">
        <v>33</v>
      </c>
      <c r="C241" t="str">
        <f t="shared" si="15"/>
        <v>18-35</v>
      </c>
      <c r="D241" t="s">
        <v>22</v>
      </c>
      <c r="E241" s="2">
        <v>45236</v>
      </c>
      <c r="F241" s="2" t="str">
        <f t="shared" ca="1" si="16"/>
        <v>No</v>
      </c>
      <c r="G241" s="2" t="str">
        <f t="shared" si="17"/>
        <v>Nov-2023</v>
      </c>
      <c r="H241" s="2">
        <v>45102</v>
      </c>
      <c r="I241">
        <v>14</v>
      </c>
      <c r="J241" t="s">
        <v>34</v>
      </c>
      <c r="K241">
        <v>2</v>
      </c>
      <c r="L241" t="s">
        <v>46</v>
      </c>
      <c r="M241" s="9">
        <v>44462</v>
      </c>
      <c r="N241" t="s">
        <v>25</v>
      </c>
      <c r="O241" t="s">
        <v>54</v>
      </c>
      <c r="P241" t="s">
        <v>41</v>
      </c>
      <c r="Q241" s="2">
        <v>45083</v>
      </c>
      <c r="R241" s="13">
        <f t="shared" si="18"/>
        <v>1020.0000000034925</v>
      </c>
      <c r="S241" s="13">
        <f t="shared" si="19"/>
        <v>-1964.4889779556388</v>
      </c>
      <c r="T241" s="2">
        <v>45083.708333333336</v>
      </c>
      <c r="U241" t="s">
        <v>55</v>
      </c>
      <c r="V241" t="s">
        <v>29</v>
      </c>
      <c r="W241" t="s">
        <v>30</v>
      </c>
      <c r="X241">
        <v>6</v>
      </c>
      <c r="Y241">
        <v>10</v>
      </c>
      <c r="Z241" t="s">
        <v>48</v>
      </c>
    </row>
    <row r="242" spans="1:26">
      <c r="A242" t="s">
        <v>299</v>
      </c>
      <c r="B242">
        <v>40</v>
      </c>
      <c r="C242" t="str">
        <f t="shared" si="15"/>
        <v>36-50</v>
      </c>
      <c r="D242" t="s">
        <v>62</v>
      </c>
      <c r="E242" s="2">
        <v>44985</v>
      </c>
      <c r="F242" s="2" t="str">
        <f t="shared" ca="1" si="16"/>
        <v>No</v>
      </c>
      <c r="G242" s="2" t="str">
        <f t="shared" si="17"/>
        <v>Feb-2023</v>
      </c>
      <c r="H242" s="2">
        <v>45000</v>
      </c>
      <c r="I242">
        <v>15</v>
      </c>
      <c r="J242" t="s">
        <v>34</v>
      </c>
      <c r="K242">
        <v>1</v>
      </c>
      <c r="L242" t="s">
        <v>71</v>
      </c>
      <c r="M242" s="9">
        <v>20835</v>
      </c>
      <c r="N242" t="s">
        <v>60</v>
      </c>
      <c r="O242" t="s">
        <v>26</v>
      </c>
      <c r="P242" t="s">
        <v>41</v>
      </c>
      <c r="Q242" s="2">
        <v>44982</v>
      </c>
      <c r="R242" s="13">
        <f t="shared" si="18"/>
        <v>900</v>
      </c>
      <c r="S242" s="13">
        <f t="shared" si="19"/>
        <v>-1963.4068136269816</v>
      </c>
      <c r="T242" s="2">
        <v>44982.625</v>
      </c>
      <c r="U242" t="s">
        <v>42</v>
      </c>
      <c r="V242" t="s">
        <v>29</v>
      </c>
      <c r="W242" t="s">
        <v>43</v>
      </c>
      <c r="X242">
        <v>5</v>
      </c>
      <c r="Y242">
        <v>12</v>
      </c>
      <c r="Z242" t="s">
        <v>31</v>
      </c>
    </row>
    <row r="243" spans="1:26">
      <c r="A243" t="s">
        <v>300</v>
      </c>
      <c r="B243">
        <v>39</v>
      </c>
      <c r="C243" t="str">
        <f t="shared" si="15"/>
        <v>36-50</v>
      </c>
      <c r="D243" t="s">
        <v>33</v>
      </c>
      <c r="E243" s="2">
        <v>45388</v>
      </c>
      <c r="F243" s="2" t="str">
        <f t="shared" ca="1" si="16"/>
        <v>No</v>
      </c>
      <c r="G243" s="2" t="str">
        <f t="shared" si="17"/>
        <v>Apr-2024</v>
      </c>
      <c r="H243" s="2">
        <v>45459</v>
      </c>
      <c r="I243">
        <v>12</v>
      </c>
      <c r="J243" t="s">
        <v>40</v>
      </c>
      <c r="K243">
        <v>4</v>
      </c>
      <c r="L243" t="s">
        <v>46</v>
      </c>
      <c r="M243" s="9">
        <v>24257</v>
      </c>
      <c r="N243" t="s">
        <v>67</v>
      </c>
      <c r="O243" t="s">
        <v>54</v>
      </c>
      <c r="P243" t="s">
        <v>27</v>
      </c>
      <c r="Q243" s="2">
        <v>45328</v>
      </c>
      <c r="R243" s="13">
        <f t="shared" si="18"/>
        <v>42300</v>
      </c>
      <c r="S243" s="13">
        <f t="shared" si="19"/>
        <v>-1874.0681362722651</v>
      </c>
      <c r="T243" s="2">
        <v>45357.375</v>
      </c>
      <c r="U243" t="s">
        <v>64</v>
      </c>
      <c r="V243" t="s">
        <v>29</v>
      </c>
      <c r="W243" t="s">
        <v>30</v>
      </c>
      <c r="X243">
        <v>6</v>
      </c>
      <c r="Y243">
        <v>10</v>
      </c>
      <c r="Z243" t="s">
        <v>31</v>
      </c>
    </row>
    <row r="244" spans="1:26">
      <c r="A244" t="s">
        <v>301</v>
      </c>
      <c r="B244">
        <v>82</v>
      </c>
      <c r="C244" t="str">
        <f t="shared" si="15"/>
        <v>66+</v>
      </c>
      <c r="D244" t="s">
        <v>41</v>
      </c>
      <c r="E244" s="2">
        <v>45009</v>
      </c>
      <c r="F244" s="2" t="str">
        <f t="shared" ca="1" si="16"/>
        <v>No</v>
      </c>
      <c r="G244" s="2" t="str">
        <f t="shared" si="17"/>
        <v>Mar-2023</v>
      </c>
      <c r="H244" s="2">
        <v>45010</v>
      </c>
      <c r="I244">
        <v>1</v>
      </c>
      <c r="J244" t="s">
        <v>50</v>
      </c>
      <c r="K244">
        <v>1</v>
      </c>
      <c r="L244" t="s">
        <v>66</v>
      </c>
      <c r="M244" s="9">
        <v>8346</v>
      </c>
      <c r="N244" t="s">
        <v>36</v>
      </c>
      <c r="O244" t="s">
        <v>26</v>
      </c>
      <c r="P244" t="s">
        <v>41</v>
      </c>
      <c r="Q244" s="2">
        <v>45005</v>
      </c>
      <c r="R244" s="13">
        <f t="shared" si="18"/>
        <v>2880</v>
      </c>
      <c r="S244" s="13">
        <f t="shared" si="19"/>
        <v>-2802.3246492983103</v>
      </c>
      <c r="T244" s="2">
        <v>45007</v>
      </c>
      <c r="U244" t="s">
        <v>37</v>
      </c>
      <c r="V244" t="s">
        <v>29</v>
      </c>
      <c r="W244" t="s">
        <v>43</v>
      </c>
      <c r="X244">
        <v>7</v>
      </c>
      <c r="Y244">
        <v>8</v>
      </c>
      <c r="Z244" t="s">
        <v>48</v>
      </c>
    </row>
    <row r="245" spans="1:26">
      <c r="A245" t="s">
        <v>302</v>
      </c>
      <c r="B245">
        <v>1</v>
      </c>
      <c r="C245" t="str">
        <f t="shared" si="15"/>
        <v>0-17</v>
      </c>
      <c r="D245" t="s">
        <v>41</v>
      </c>
      <c r="E245" s="2">
        <v>45206</v>
      </c>
      <c r="F245" s="2" t="str">
        <f t="shared" ca="1" si="16"/>
        <v>No</v>
      </c>
      <c r="G245" s="2" t="str">
        <f t="shared" si="17"/>
        <v>Oct-2023</v>
      </c>
      <c r="H245" s="2">
        <v>45122</v>
      </c>
      <c r="I245">
        <v>5</v>
      </c>
      <c r="J245" t="s">
        <v>63</v>
      </c>
      <c r="K245">
        <v>5</v>
      </c>
      <c r="L245" t="s">
        <v>71</v>
      </c>
      <c r="M245" s="9">
        <v>35807</v>
      </c>
      <c r="N245" t="s">
        <v>60</v>
      </c>
      <c r="O245" t="s">
        <v>54</v>
      </c>
      <c r="P245" t="s">
        <v>41</v>
      </c>
      <c r="Q245" s="2">
        <v>45206</v>
      </c>
      <c r="R245" s="13">
        <f t="shared" si="18"/>
        <v>45239.999999996508</v>
      </c>
      <c r="S245" s="13">
        <f t="shared" si="19"/>
        <v>-2725.1302605207552</v>
      </c>
      <c r="T245" s="2">
        <v>45237.416666666664</v>
      </c>
      <c r="U245" t="s">
        <v>64</v>
      </c>
      <c r="V245" t="s">
        <v>29</v>
      </c>
      <c r="W245" t="s">
        <v>43</v>
      </c>
      <c r="X245">
        <v>10</v>
      </c>
      <c r="Y245">
        <v>10</v>
      </c>
      <c r="Z245" t="s">
        <v>68</v>
      </c>
    </row>
    <row r="246" spans="1:26">
      <c r="A246" t="s">
        <v>303</v>
      </c>
      <c r="B246">
        <v>11</v>
      </c>
      <c r="C246" t="str">
        <f t="shared" si="15"/>
        <v>0-17</v>
      </c>
      <c r="D246" t="s">
        <v>33</v>
      </c>
      <c r="E246" s="2">
        <v>45263</v>
      </c>
      <c r="F246" s="2" t="str">
        <f t="shared" ca="1" si="16"/>
        <v>No</v>
      </c>
      <c r="G246" s="2" t="str">
        <f t="shared" si="17"/>
        <v>Dec-2023</v>
      </c>
      <c r="H246" s="2">
        <v>45007</v>
      </c>
      <c r="I246">
        <v>10</v>
      </c>
      <c r="J246" t="s">
        <v>63</v>
      </c>
      <c r="K246">
        <v>3</v>
      </c>
      <c r="L246" t="s">
        <v>35</v>
      </c>
      <c r="M246" s="9">
        <v>35418</v>
      </c>
      <c r="N246" t="s">
        <v>67</v>
      </c>
      <c r="O246" t="s">
        <v>26</v>
      </c>
      <c r="P246" t="s">
        <v>41</v>
      </c>
      <c r="Q246" s="2">
        <v>45263</v>
      </c>
      <c r="R246" s="13">
        <f t="shared" si="18"/>
        <v>-380880</v>
      </c>
      <c r="S246" s="13">
        <f t="shared" si="19"/>
        <v>-2810.5010020037071</v>
      </c>
      <c r="T246" s="2">
        <v>44998.5</v>
      </c>
      <c r="U246" t="s">
        <v>55</v>
      </c>
      <c r="V246" t="s">
        <v>29</v>
      </c>
      <c r="W246" t="s">
        <v>43</v>
      </c>
      <c r="X246">
        <v>11</v>
      </c>
      <c r="Y246">
        <v>10</v>
      </c>
      <c r="Z246" t="s">
        <v>68</v>
      </c>
    </row>
    <row r="247" spans="1:26">
      <c r="A247" t="s">
        <v>304</v>
      </c>
      <c r="B247">
        <v>57</v>
      </c>
      <c r="C247" t="str">
        <f t="shared" si="15"/>
        <v>51-65</v>
      </c>
      <c r="D247" t="s">
        <v>41</v>
      </c>
      <c r="E247" s="2">
        <v>45233</v>
      </c>
      <c r="F247" s="2" t="str">
        <f t="shared" ca="1" si="16"/>
        <v>No</v>
      </c>
      <c r="G247" s="2" t="str">
        <f t="shared" si="17"/>
        <v>Nov-2023</v>
      </c>
      <c r="H247" s="2">
        <v>45001</v>
      </c>
      <c r="I247">
        <v>5</v>
      </c>
      <c r="J247" t="s">
        <v>63</v>
      </c>
      <c r="K247">
        <v>5</v>
      </c>
      <c r="L247" t="s">
        <v>46</v>
      </c>
      <c r="M247" s="9">
        <v>16340</v>
      </c>
      <c r="N247" t="s">
        <v>53</v>
      </c>
      <c r="O247" t="s">
        <v>54</v>
      </c>
      <c r="P247" t="s">
        <v>27</v>
      </c>
      <c r="Q247" s="2">
        <v>45141</v>
      </c>
      <c r="R247" s="13">
        <f t="shared" si="18"/>
        <v>45480.000000003492</v>
      </c>
      <c r="S247" s="13">
        <f t="shared" si="19"/>
        <v>-2042.1643286570136</v>
      </c>
      <c r="T247" s="2">
        <v>45172.583333333336</v>
      </c>
      <c r="U247" t="s">
        <v>37</v>
      </c>
      <c r="V247" t="s">
        <v>29</v>
      </c>
      <c r="W247" t="s">
        <v>47</v>
      </c>
      <c r="X247">
        <v>4</v>
      </c>
      <c r="Y247">
        <v>12</v>
      </c>
      <c r="Z247" t="s">
        <v>31</v>
      </c>
    </row>
    <row r="248" spans="1:26">
      <c r="A248" t="s">
        <v>305</v>
      </c>
      <c r="B248">
        <v>89</v>
      </c>
      <c r="C248" t="str">
        <f t="shared" si="15"/>
        <v>66+</v>
      </c>
      <c r="D248" t="s">
        <v>45</v>
      </c>
      <c r="E248" s="2">
        <v>45167</v>
      </c>
      <c r="F248" s="2" t="str">
        <f t="shared" ca="1" si="16"/>
        <v>No</v>
      </c>
      <c r="G248" s="2" t="str">
        <f t="shared" si="17"/>
        <v>Aug-2023</v>
      </c>
      <c r="H248" s="2">
        <v>45025</v>
      </c>
      <c r="I248">
        <v>6</v>
      </c>
      <c r="J248" t="s">
        <v>40</v>
      </c>
      <c r="K248">
        <v>3</v>
      </c>
      <c r="L248" t="s">
        <v>46</v>
      </c>
      <c r="M248" s="9">
        <v>38012</v>
      </c>
      <c r="N248" t="s">
        <v>53</v>
      </c>
      <c r="O248" t="s">
        <v>54</v>
      </c>
      <c r="P248" t="s">
        <v>27</v>
      </c>
      <c r="Q248" s="2">
        <v>45166</v>
      </c>
      <c r="R248" s="13">
        <f t="shared" si="18"/>
        <v>2700</v>
      </c>
      <c r="S248" s="13">
        <f t="shared" si="19"/>
        <v>-2132.7054108213424</v>
      </c>
      <c r="T248" s="2">
        <v>45167.875</v>
      </c>
      <c r="U248" t="s">
        <v>64</v>
      </c>
      <c r="V248" t="s">
        <v>29</v>
      </c>
      <c r="W248" t="s">
        <v>43</v>
      </c>
      <c r="X248">
        <v>8</v>
      </c>
      <c r="Y248">
        <v>12</v>
      </c>
      <c r="Z248" t="s">
        <v>48</v>
      </c>
    </row>
    <row r="249" spans="1:26">
      <c r="A249" t="s">
        <v>306</v>
      </c>
      <c r="B249">
        <v>50</v>
      </c>
      <c r="C249" t="str">
        <f t="shared" si="15"/>
        <v>36-50</v>
      </c>
      <c r="D249" t="s">
        <v>52</v>
      </c>
      <c r="E249" s="2">
        <v>45340</v>
      </c>
      <c r="F249" s="2" t="str">
        <f t="shared" ca="1" si="16"/>
        <v>No</v>
      </c>
      <c r="G249" s="2" t="str">
        <f t="shared" si="17"/>
        <v>Feb-2024</v>
      </c>
      <c r="H249" s="2">
        <v>45342</v>
      </c>
      <c r="I249">
        <v>2</v>
      </c>
      <c r="J249" t="s">
        <v>23</v>
      </c>
      <c r="K249">
        <v>2</v>
      </c>
      <c r="L249" t="s">
        <v>35</v>
      </c>
      <c r="M249" s="9">
        <v>40393</v>
      </c>
      <c r="N249" t="s">
        <v>60</v>
      </c>
      <c r="O249" t="s">
        <v>26</v>
      </c>
      <c r="P249" t="s">
        <v>27</v>
      </c>
      <c r="Q249" s="2">
        <v>45338</v>
      </c>
      <c r="R249" s="13">
        <f t="shared" si="18"/>
        <v>2219.9999999965075</v>
      </c>
      <c r="S249" s="13">
        <f t="shared" si="19"/>
        <v>-2135.7114228453834</v>
      </c>
      <c r="T249" s="2">
        <v>45339.541666666664</v>
      </c>
      <c r="U249" t="s">
        <v>42</v>
      </c>
      <c r="V249" t="s">
        <v>29</v>
      </c>
      <c r="W249" t="s">
        <v>43</v>
      </c>
      <c r="X249">
        <v>10</v>
      </c>
      <c r="Y249">
        <v>10</v>
      </c>
      <c r="Z249" t="s">
        <v>31</v>
      </c>
    </row>
    <row r="250" spans="1:26">
      <c r="A250" t="s">
        <v>307</v>
      </c>
      <c r="B250">
        <v>23</v>
      </c>
      <c r="C250" t="str">
        <f t="shared" si="15"/>
        <v>18-35</v>
      </c>
      <c r="D250" t="s">
        <v>22</v>
      </c>
      <c r="E250" s="2">
        <v>44990</v>
      </c>
      <c r="F250" s="2" t="str">
        <f t="shared" ca="1" si="16"/>
        <v>No</v>
      </c>
      <c r="G250" s="2" t="str">
        <f t="shared" si="17"/>
        <v>Mar-2023</v>
      </c>
      <c r="H250" s="2">
        <v>45059</v>
      </c>
      <c r="I250">
        <v>10</v>
      </c>
      <c r="J250" t="s">
        <v>34</v>
      </c>
      <c r="K250">
        <v>4</v>
      </c>
      <c r="L250" t="s">
        <v>46</v>
      </c>
      <c r="M250" s="9">
        <v>41617</v>
      </c>
      <c r="N250" t="s">
        <v>60</v>
      </c>
      <c r="O250" t="s">
        <v>54</v>
      </c>
      <c r="P250" t="s">
        <v>41</v>
      </c>
      <c r="Q250" s="2">
        <v>45044</v>
      </c>
      <c r="R250" s="13">
        <f t="shared" si="18"/>
        <v>900</v>
      </c>
      <c r="S250" s="13">
        <f t="shared" si="19"/>
        <v>-2048.1763527050957</v>
      </c>
      <c r="T250" s="2">
        <v>45044.625</v>
      </c>
      <c r="U250" t="s">
        <v>37</v>
      </c>
      <c r="V250" t="s">
        <v>29</v>
      </c>
      <c r="W250" t="s">
        <v>30</v>
      </c>
      <c r="X250">
        <v>4</v>
      </c>
      <c r="Y250">
        <v>8</v>
      </c>
      <c r="Z250" t="s">
        <v>31</v>
      </c>
    </row>
    <row r="251" spans="1:26">
      <c r="A251" t="s">
        <v>308</v>
      </c>
      <c r="B251">
        <v>31</v>
      </c>
      <c r="C251" t="str">
        <f t="shared" si="15"/>
        <v>18-35</v>
      </c>
      <c r="D251" t="s">
        <v>52</v>
      </c>
      <c r="E251" s="2">
        <v>45208</v>
      </c>
      <c r="F251" s="2" t="str">
        <f t="shared" ca="1" si="16"/>
        <v>No</v>
      </c>
      <c r="G251" s="2" t="str">
        <f t="shared" si="17"/>
        <v>Oct-2023</v>
      </c>
      <c r="H251" s="2">
        <v>45188</v>
      </c>
      <c r="I251">
        <v>9</v>
      </c>
      <c r="J251" t="s">
        <v>50</v>
      </c>
      <c r="K251">
        <v>1</v>
      </c>
      <c r="L251" t="s">
        <v>35</v>
      </c>
      <c r="M251" s="9">
        <v>14597</v>
      </c>
      <c r="N251" t="s">
        <v>25</v>
      </c>
      <c r="O251" t="s">
        <v>54</v>
      </c>
      <c r="P251" t="s">
        <v>27</v>
      </c>
      <c r="Q251" s="2">
        <v>45147</v>
      </c>
      <c r="R251" s="13">
        <f t="shared" si="18"/>
        <v>44940.000000003492</v>
      </c>
      <c r="S251" s="13">
        <f t="shared" si="19"/>
        <v>-2046.6132264525979</v>
      </c>
      <c r="T251" s="2">
        <v>45178.208333333336</v>
      </c>
      <c r="U251" t="s">
        <v>37</v>
      </c>
      <c r="V251" t="s">
        <v>29</v>
      </c>
      <c r="W251" t="s">
        <v>43</v>
      </c>
      <c r="X251">
        <v>7</v>
      </c>
      <c r="Y251">
        <v>10</v>
      </c>
      <c r="Z251" t="s">
        <v>31</v>
      </c>
    </row>
    <row r="252" spans="1:26">
      <c r="A252" t="s">
        <v>309</v>
      </c>
      <c r="B252">
        <v>42</v>
      </c>
      <c r="C252" t="str">
        <f t="shared" si="15"/>
        <v>36-50</v>
      </c>
      <c r="D252" t="s">
        <v>22</v>
      </c>
      <c r="E252" s="2">
        <v>45201</v>
      </c>
      <c r="F252" s="2" t="str">
        <f t="shared" ca="1" si="16"/>
        <v>No</v>
      </c>
      <c r="G252" s="2" t="str">
        <f t="shared" si="17"/>
        <v>Oct-2023</v>
      </c>
      <c r="H252" s="2">
        <v>44971</v>
      </c>
      <c r="I252">
        <v>4</v>
      </c>
      <c r="J252" t="s">
        <v>57</v>
      </c>
      <c r="K252">
        <v>4</v>
      </c>
      <c r="L252" t="s">
        <v>71</v>
      </c>
      <c r="M252" s="9">
        <v>30557</v>
      </c>
      <c r="N252" t="s">
        <v>67</v>
      </c>
      <c r="O252" t="s">
        <v>26</v>
      </c>
      <c r="P252" t="s">
        <v>27</v>
      </c>
      <c r="Q252" s="2">
        <v>45109</v>
      </c>
      <c r="R252" s="13">
        <f t="shared" si="18"/>
        <v>44640</v>
      </c>
      <c r="S252" s="13">
        <f t="shared" si="19"/>
        <v>-2131.0220440878684</v>
      </c>
      <c r="T252" s="2">
        <v>45140</v>
      </c>
      <c r="U252" t="s">
        <v>42</v>
      </c>
      <c r="V252" t="s">
        <v>29</v>
      </c>
      <c r="W252" t="s">
        <v>43</v>
      </c>
      <c r="X252">
        <v>8</v>
      </c>
      <c r="Y252">
        <v>8</v>
      </c>
      <c r="Z252" t="s">
        <v>48</v>
      </c>
    </row>
    <row r="253" spans="1:26">
      <c r="A253" t="s">
        <v>310</v>
      </c>
      <c r="B253">
        <v>7</v>
      </c>
      <c r="C253" t="str">
        <f t="shared" si="15"/>
        <v>0-17</v>
      </c>
      <c r="D253" t="s">
        <v>22</v>
      </c>
      <c r="E253" s="2">
        <v>45010</v>
      </c>
      <c r="F253" s="2" t="str">
        <f t="shared" ca="1" si="16"/>
        <v>No</v>
      </c>
      <c r="G253" s="2" t="str">
        <f t="shared" si="17"/>
        <v>Mar-2023</v>
      </c>
      <c r="H253" s="2">
        <v>45013</v>
      </c>
      <c r="I253">
        <v>3</v>
      </c>
      <c r="J253" t="s">
        <v>23</v>
      </c>
      <c r="K253">
        <v>1</v>
      </c>
      <c r="L253" t="s">
        <v>66</v>
      </c>
      <c r="M253" s="9">
        <v>12737</v>
      </c>
      <c r="N253" t="s">
        <v>60</v>
      </c>
      <c r="O253" t="s">
        <v>54</v>
      </c>
      <c r="P253" t="s">
        <v>27</v>
      </c>
      <c r="Q253" s="2">
        <v>45008</v>
      </c>
      <c r="R253" s="13">
        <f t="shared" si="18"/>
        <v>1560.0000000034925</v>
      </c>
      <c r="S253" s="13">
        <f t="shared" si="19"/>
        <v>-2218.557114228156</v>
      </c>
      <c r="T253" s="2">
        <v>45009.083333333336</v>
      </c>
      <c r="U253" t="s">
        <v>37</v>
      </c>
      <c r="V253" t="s">
        <v>29</v>
      </c>
      <c r="W253" t="s">
        <v>47</v>
      </c>
      <c r="X253">
        <v>9</v>
      </c>
      <c r="Y253">
        <v>8</v>
      </c>
      <c r="Z253" t="s">
        <v>48</v>
      </c>
    </row>
    <row r="254" spans="1:26">
      <c r="A254" t="s">
        <v>311</v>
      </c>
      <c r="B254">
        <v>16</v>
      </c>
      <c r="C254" t="str">
        <f t="shared" si="15"/>
        <v>0-17</v>
      </c>
      <c r="D254" t="s">
        <v>52</v>
      </c>
      <c r="E254" s="2">
        <v>45415</v>
      </c>
      <c r="F254" s="2" t="str">
        <f t="shared" ca="1" si="16"/>
        <v>No</v>
      </c>
      <c r="G254" s="2" t="str">
        <f t="shared" si="17"/>
        <v>May-2024</v>
      </c>
      <c r="H254" s="2">
        <v>45367</v>
      </c>
      <c r="I254">
        <v>11</v>
      </c>
      <c r="J254" t="s">
        <v>34</v>
      </c>
      <c r="K254">
        <v>5</v>
      </c>
      <c r="L254" t="s">
        <v>35</v>
      </c>
      <c r="M254" s="9">
        <v>49768</v>
      </c>
      <c r="N254" t="s">
        <v>25</v>
      </c>
      <c r="O254" t="s">
        <v>54</v>
      </c>
      <c r="P254" t="s">
        <v>27</v>
      </c>
      <c r="Q254" s="2">
        <v>45415</v>
      </c>
      <c r="R254" s="13">
        <f t="shared" si="18"/>
        <v>45000</v>
      </c>
      <c r="S254" s="13">
        <f t="shared" si="19"/>
        <v>-2221.2024048093322</v>
      </c>
      <c r="T254" s="2">
        <v>45446.25</v>
      </c>
      <c r="U254" t="s">
        <v>64</v>
      </c>
      <c r="V254" t="s">
        <v>29</v>
      </c>
      <c r="W254" t="s">
        <v>30</v>
      </c>
      <c r="X254">
        <v>9</v>
      </c>
      <c r="Y254">
        <v>8</v>
      </c>
      <c r="Z254" t="s">
        <v>68</v>
      </c>
    </row>
    <row r="255" spans="1:26">
      <c r="A255" t="s">
        <v>312</v>
      </c>
      <c r="B255">
        <v>60</v>
      </c>
      <c r="C255" t="str">
        <f t="shared" si="15"/>
        <v>51-65</v>
      </c>
      <c r="D255" t="s">
        <v>33</v>
      </c>
      <c r="E255" s="2">
        <v>45462</v>
      </c>
      <c r="F255" s="2" t="str">
        <f t="shared" ca="1" si="16"/>
        <v>No</v>
      </c>
      <c r="G255" s="2" t="str">
        <f t="shared" si="17"/>
        <v>Jun-2024</v>
      </c>
      <c r="H255" s="2">
        <v>45470</v>
      </c>
      <c r="I255">
        <v>8</v>
      </c>
      <c r="J255" t="s">
        <v>40</v>
      </c>
      <c r="K255">
        <v>5</v>
      </c>
      <c r="L255" t="s">
        <v>24</v>
      </c>
      <c r="M255" s="9">
        <v>46101</v>
      </c>
      <c r="N255" t="s">
        <v>25</v>
      </c>
      <c r="O255" t="s">
        <v>26</v>
      </c>
      <c r="P255" t="s">
        <v>41</v>
      </c>
      <c r="Q255" s="2">
        <v>45459</v>
      </c>
      <c r="R255" s="13">
        <f t="shared" si="18"/>
        <v>2640.0000000034925</v>
      </c>
      <c r="S255" s="13">
        <f t="shared" si="19"/>
        <v>-2309.4589178353913</v>
      </c>
      <c r="T255" s="2">
        <v>45460.833333333336</v>
      </c>
      <c r="U255" t="s">
        <v>37</v>
      </c>
      <c r="V255" t="s">
        <v>29</v>
      </c>
      <c r="W255" t="s">
        <v>47</v>
      </c>
      <c r="X255">
        <v>10</v>
      </c>
      <c r="Y255">
        <v>10</v>
      </c>
      <c r="Z255" t="s">
        <v>48</v>
      </c>
    </row>
    <row r="256" spans="1:26">
      <c r="A256" t="s">
        <v>313</v>
      </c>
      <c r="B256">
        <v>2</v>
      </c>
      <c r="C256" t="str">
        <f t="shared" si="15"/>
        <v>0-17</v>
      </c>
      <c r="D256" t="s">
        <v>22</v>
      </c>
      <c r="E256" s="2">
        <v>45250</v>
      </c>
      <c r="F256" s="2" t="str">
        <f t="shared" ca="1" si="16"/>
        <v>No</v>
      </c>
      <c r="G256" s="2" t="str">
        <f t="shared" si="17"/>
        <v>Nov-2023</v>
      </c>
      <c r="H256" s="2">
        <v>45254</v>
      </c>
      <c r="I256">
        <v>4</v>
      </c>
      <c r="J256" t="s">
        <v>34</v>
      </c>
      <c r="K256">
        <v>1</v>
      </c>
      <c r="L256" t="s">
        <v>35</v>
      </c>
      <c r="M256" s="9">
        <v>22276</v>
      </c>
      <c r="N256" t="s">
        <v>60</v>
      </c>
      <c r="O256" t="s">
        <v>54</v>
      </c>
      <c r="P256" t="s">
        <v>27</v>
      </c>
      <c r="Q256" s="2">
        <v>45250</v>
      </c>
      <c r="R256" s="13">
        <f t="shared" si="18"/>
        <v>2280.0000000034925</v>
      </c>
      <c r="S256" s="13">
        <f t="shared" si="19"/>
        <v>-2314.0280561119516</v>
      </c>
      <c r="T256" s="2">
        <v>45251.583333333336</v>
      </c>
      <c r="U256" t="s">
        <v>64</v>
      </c>
      <c r="V256" t="s">
        <v>29</v>
      </c>
      <c r="W256" t="s">
        <v>47</v>
      </c>
      <c r="X256">
        <v>6</v>
      </c>
      <c r="Y256">
        <v>8</v>
      </c>
      <c r="Z256" t="s">
        <v>31</v>
      </c>
    </row>
    <row r="257" spans="1:26">
      <c r="A257" t="s">
        <v>314</v>
      </c>
      <c r="B257">
        <v>1</v>
      </c>
      <c r="C257" t="str">
        <f t="shared" si="15"/>
        <v>0-17</v>
      </c>
      <c r="D257" t="s">
        <v>52</v>
      </c>
      <c r="E257" s="2">
        <v>45194</v>
      </c>
      <c r="F257" s="2" t="str">
        <f t="shared" ca="1" si="16"/>
        <v>No</v>
      </c>
      <c r="G257" s="2" t="str">
        <f t="shared" si="17"/>
        <v>Sep-2023</v>
      </c>
      <c r="H257" s="2">
        <v>45179</v>
      </c>
      <c r="I257">
        <v>14</v>
      </c>
      <c r="J257" t="s">
        <v>34</v>
      </c>
      <c r="K257">
        <v>4</v>
      </c>
      <c r="L257" t="s">
        <v>46</v>
      </c>
      <c r="M257" s="9">
        <v>12310</v>
      </c>
      <c r="N257" t="s">
        <v>53</v>
      </c>
      <c r="O257" t="s">
        <v>26</v>
      </c>
      <c r="P257" t="s">
        <v>27</v>
      </c>
      <c r="Q257" s="2">
        <v>45190</v>
      </c>
      <c r="R257" s="13">
        <f t="shared" si="18"/>
        <v>2700</v>
      </c>
      <c r="S257" s="13">
        <f t="shared" si="19"/>
        <v>-2315.2304609215848</v>
      </c>
      <c r="T257" s="2">
        <v>45191.875</v>
      </c>
      <c r="U257" t="s">
        <v>42</v>
      </c>
      <c r="V257" t="s">
        <v>29</v>
      </c>
      <c r="W257" t="s">
        <v>47</v>
      </c>
      <c r="X257">
        <v>10</v>
      </c>
      <c r="Y257">
        <v>10</v>
      </c>
      <c r="Z257" t="s">
        <v>31</v>
      </c>
    </row>
    <row r="258" spans="1:26">
      <c r="A258" t="s">
        <v>315</v>
      </c>
      <c r="B258">
        <v>48</v>
      </c>
      <c r="C258" t="str">
        <f t="shared" si="15"/>
        <v>36-50</v>
      </c>
      <c r="D258" t="s">
        <v>22</v>
      </c>
      <c r="E258" s="2">
        <v>45136</v>
      </c>
      <c r="F258" s="2" t="str">
        <f t="shared" ca="1" si="16"/>
        <v>No</v>
      </c>
      <c r="G258" s="2" t="str">
        <f t="shared" si="17"/>
        <v>Jul-2023</v>
      </c>
      <c r="H258" s="2">
        <v>45138</v>
      </c>
      <c r="I258">
        <v>2</v>
      </c>
      <c r="J258" t="s">
        <v>40</v>
      </c>
      <c r="K258">
        <v>1</v>
      </c>
      <c r="L258" t="s">
        <v>71</v>
      </c>
      <c r="M258" s="9">
        <v>40167</v>
      </c>
      <c r="N258" t="s">
        <v>67</v>
      </c>
      <c r="O258" t="s">
        <v>26</v>
      </c>
      <c r="P258" t="s">
        <v>27</v>
      </c>
      <c r="Q258" s="2">
        <v>45132</v>
      </c>
      <c r="R258" s="13">
        <f t="shared" si="18"/>
        <v>1980</v>
      </c>
      <c r="S258" s="13">
        <f t="shared" si="19"/>
        <v>-2319.6793587171687</v>
      </c>
      <c r="T258" s="2">
        <v>45133.375</v>
      </c>
      <c r="U258" t="s">
        <v>28</v>
      </c>
      <c r="V258" t="s">
        <v>38</v>
      </c>
      <c r="W258" t="s">
        <v>43</v>
      </c>
      <c r="X258">
        <v>6</v>
      </c>
      <c r="Y258">
        <v>8</v>
      </c>
      <c r="Z258" t="s">
        <v>68</v>
      </c>
    </row>
    <row r="259" spans="1:26">
      <c r="A259" t="s">
        <v>316</v>
      </c>
      <c r="B259">
        <v>12</v>
      </c>
      <c r="C259" t="str">
        <f t="shared" ref="C259:C322" si="20">IF(B259&lt;18,"0-17",IF(B259&lt;=35,"18-35",IF(B259&lt;=50,"36-50",IF(B259&lt;=65,"51-65","66+"))))</f>
        <v>0-17</v>
      </c>
      <c r="D259" t="s">
        <v>62</v>
      </c>
      <c r="E259" s="2">
        <v>45248</v>
      </c>
      <c r="F259" s="2" t="str">
        <f t="shared" ref="F259:F322" ca="1" si="21">IF(E259&gt;=EDATE(TODAY(),-12),"Yes","No")</f>
        <v>No</v>
      </c>
      <c r="G259" s="2" t="str">
        <f t="shared" ref="G259:G322" si="22">TEXT(E259,"mmm-yyyy")</f>
        <v>Nov-2023</v>
      </c>
      <c r="H259" s="2">
        <v>45254</v>
      </c>
      <c r="I259">
        <v>6</v>
      </c>
      <c r="J259" t="s">
        <v>63</v>
      </c>
      <c r="K259">
        <v>2</v>
      </c>
      <c r="L259" t="s">
        <v>71</v>
      </c>
      <c r="M259" s="9">
        <v>42408</v>
      </c>
      <c r="N259" t="s">
        <v>67</v>
      </c>
      <c r="O259" t="s">
        <v>54</v>
      </c>
      <c r="P259" t="s">
        <v>27</v>
      </c>
      <c r="Q259" s="2">
        <v>45247</v>
      </c>
      <c r="R259" s="13">
        <f t="shared" ref="R259:R322" si="23">(T259-Q259)*1440</f>
        <v>599.99999999650754</v>
      </c>
      <c r="S259" s="13">
        <f t="shared" ref="S259:S322" si="24">AVERAGE(R259:R757)</f>
        <v>-2233.4669338674694</v>
      </c>
      <c r="T259" s="2">
        <v>45247.416666666664</v>
      </c>
      <c r="U259" t="s">
        <v>42</v>
      </c>
      <c r="V259" t="s">
        <v>29</v>
      </c>
      <c r="W259" t="s">
        <v>47</v>
      </c>
      <c r="X259">
        <v>11</v>
      </c>
      <c r="Y259">
        <v>8</v>
      </c>
      <c r="Z259" t="s">
        <v>48</v>
      </c>
    </row>
    <row r="260" spans="1:26">
      <c r="A260" t="s">
        <v>317</v>
      </c>
      <c r="B260">
        <v>69</v>
      </c>
      <c r="C260" t="str">
        <f t="shared" si="20"/>
        <v>66+</v>
      </c>
      <c r="D260" t="s">
        <v>33</v>
      </c>
      <c r="E260" s="2">
        <v>44966</v>
      </c>
      <c r="F260" s="2" t="str">
        <f t="shared" ca="1" si="21"/>
        <v>No</v>
      </c>
      <c r="G260" s="2" t="str">
        <f t="shared" si="22"/>
        <v>Feb-2023</v>
      </c>
      <c r="H260" s="2">
        <v>45185</v>
      </c>
      <c r="I260">
        <v>14</v>
      </c>
      <c r="J260" t="s">
        <v>63</v>
      </c>
      <c r="K260">
        <v>5</v>
      </c>
      <c r="L260" t="s">
        <v>35</v>
      </c>
      <c r="M260" s="9">
        <v>24344</v>
      </c>
      <c r="N260" t="s">
        <v>53</v>
      </c>
      <c r="O260" t="s">
        <v>54</v>
      </c>
      <c r="P260" t="s">
        <v>27</v>
      </c>
      <c r="Q260" s="2">
        <v>45169</v>
      </c>
      <c r="R260" s="13">
        <f t="shared" si="23"/>
        <v>1380.0000000034925</v>
      </c>
      <c r="S260" s="13">
        <f t="shared" si="24"/>
        <v>-2229.8597194386116</v>
      </c>
      <c r="T260" s="2">
        <v>45169.958333333336</v>
      </c>
      <c r="U260" t="s">
        <v>64</v>
      </c>
      <c r="V260" t="s">
        <v>38</v>
      </c>
      <c r="W260" t="s">
        <v>47</v>
      </c>
      <c r="X260">
        <v>7</v>
      </c>
      <c r="Y260">
        <v>10</v>
      </c>
      <c r="Z260" t="s">
        <v>31</v>
      </c>
    </row>
    <row r="261" spans="1:26">
      <c r="A261" t="s">
        <v>318</v>
      </c>
      <c r="B261">
        <v>37</v>
      </c>
      <c r="C261" t="str">
        <f t="shared" si="20"/>
        <v>36-50</v>
      </c>
      <c r="D261" t="s">
        <v>45</v>
      </c>
      <c r="E261" s="2">
        <v>45198</v>
      </c>
      <c r="F261" s="2" t="str">
        <f t="shared" ca="1" si="21"/>
        <v>No</v>
      </c>
      <c r="G261" s="2" t="str">
        <f t="shared" si="22"/>
        <v>Sep-2023</v>
      </c>
      <c r="H261" s="2">
        <v>45148</v>
      </c>
      <c r="I261">
        <v>9</v>
      </c>
      <c r="J261" t="s">
        <v>50</v>
      </c>
      <c r="K261">
        <v>2</v>
      </c>
      <c r="L261" t="s">
        <v>66</v>
      </c>
      <c r="M261" s="9">
        <v>15391</v>
      </c>
      <c r="N261" t="s">
        <v>60</v>
      </c>
      <c r="O261" t="s">
        <v>54</v>
      </c>
      <c r="P261" t="s">
        <v>27</v>
      </c>
      <c r="Q261" s="2">
        <v>45194</v>
      </c>
      <c r="R261" s="13">
        <f t="shared" si="23"/>
        <v>120.00000000349246</v>
      </c>
      <c r="S261" s="13">
        <f t="shared" si="24"/>
        <v>-2227.9358717432278</v>
      </c>
      <c r="T261" s="2">
        <v>45194.083333333336</v>
      </c>
      <c r="U261" t="s">
        <v>55</v>
      </c>
      <c r="V261" t="s">
        <v>29</v>
      </c>
      <c r="W261" t="s">
        <v>30</v>
      </c>
      <c r="X261">
        <v>9</v>
      </c>
      <c r="Y261">
        <v>12</v>
      </c>
      <c r="Z261" t="s">
        <v>68</v>
      </c>
    </row>
    <row r="262" spans="1:26">
      <c r="A262" t="s">
        <v>319</v>
      </c>
      <c r="B262">
        <v>32</v>
      </c>
      <c r="C262" t="str">
        <f t="shared" si="20"/>
        <v>18-35</v>
      </c>
      <c r="D262" t="s">
        <v>22</v>
      </c>
      <c r="E262" s="2">
        <v>45567</v>
      </c>
      <c r="F262" s="2" t="str">
        <f t="shared" ca="1" si="21"/>
        <v>No</v>
      </c>
      <c r="G262" s="2" t="str">
        <f t="shared" si="22"/>
        <v>Oct-2024</v>
      </c>
      <c r="H262" s="2">
        <v>45338</v>
      </c>
      <c r="I262">
        <v>6</v>
      </c>
      <c r="J262" t="s">
        <v>50</v>
      </c>
      <c r="K262">
        <v>5</v>
      </c>
      <c r="L262" t="s">
        <v>24</v>
      </c>
      <c r="M262" s="9">
        <v>15892</v>
      </c>
      <c r="N262" t="s">
        <v>67</v>
      </c>
      <c r="O262" t="s">
        <v>54</v>
      </c>
      <c r="P262" t="s">
        <v>27</v>
      </c>
      <c r="Q262" s="2">
        <v>45506</v>
      </c>
      <c r="R262" s="13">
        <f t="shared" si="23"/>
        <v>45059.999999996508</v>
      </c>
      <c r="S262" s="13">
        <f t="shared" si="24"/>
        <v>-2227.6953907813181</v>
      </c>
      <c r="T262" s="2">
        <v>45537.291666666664</v>
      </c>
      <c r="U262" t="s">
        <v>42</v>
      </c>
      <c r="V262" t="s">
        <v>29</v>
      </c>
      <c r="W262" t="s">
        <v>30</v>
      </c>
      <c r="X262">
        <v>11</v>
      </c>
      <c r="Y262">
        <v>12</v>
      </c>
      <c r="Z262" t="s">
        <v>68</v>
      </c>
    </row>
    <row r="263" spans="1:26">
      <c r="A263" t="s">
        <v>320</v>
      </c>
      <c r="B263">
        <v>9</v>
      </c>
      <c r="C263" t="str">
        <f t="shared" si="20"/>
        <v>0-17</v>
      </c>
      <c r="D263" t="s">
        <v>62</v>
      </c>
      <c r="E263" s="2">
        <v>45061</v>
      </c>
      <c r="F263" s="2" t="str">
        <f t="shared" ca="1" si="21"/>
        <v>No</v>
      </c>
      <c r="G263" s="2" t="str">
        <f t="shared" si="22"/>
        <v>May-2023</v>
      </c>
      <c r="H263" s="2">
        <v>45063</v>
      </c>
      <c r="I263">
        <v>2</v>
      </c>
      <c r="J263" t="s">
        <v>63</v>
      </c>
      <c r="K263">
        <v>5</v>
      </c>
      <c r="L263" t="s">
        <v>71</v>
      </c>
      <c r="M263" s="9">
        <v>16197</v>
      </c>
      <c r="N263" t="s">
        <v>60</v>
      </c>
      <c r="O263" t="s">
        <v>26</v>
      </c>
      <c r="P263" t="s">
        <v>27</v>
      </c>
      <c r="Q263" s="2">
        <v>45061</v>
      </c>
      <c r="R263" s="13">
        <f t="shared" si="23"/>
        <v>419.99999999650754</v>
      </c>
      <c r="S263" s="13">
        <f t="shared" si="24"/>
        <v>-2315.5911823644706</v>
      </c>
      <c r="T263" s="2">
        <v>45061.291666666664</v>
      </c>
      <c r="U263" t="s">
        <v>55</v>
      </c>
      <c r="V263" t="s">
        <v>29</v>
      </c>
      <c r="W263" t="s">
        <v>30</v>
      </c>
      <c r="X263">
        <v>8</v>
      </c>
      <c r="Y263">
        <v>10</v>
      </c>
      <c r="Z263" t="s">
        <v>31</v>
      </c>
    </row>
    <row r="264" spans="1:26">
      <c r="A264" t="s">
        <v>321</v>
      </c>
      <c r="B264">
        <v>19</v>
      </c>
      <c r="C264" t="str">
        <f t="shared" si="20"/>
        <v>18-35</v>
      </c>
      <c r="D264" t="s">
        <v>45</v>
      </c>
      <c r="E264" s="2">
        <v>45027</v>
      </c>
      <c r="F264" s="2" t="str">
        <f t="shared" ca="1" si="21"/>
        <v>No</v>
      </c>
      <c r="G264" s="2" t="str">
        <f t="shared" si="22"/>
        <v>Apr-2023</v>
      </c>
      <c r="H264" s="2">
        <v>45247</v>
      </c>
      <c r="I264">
        <v>13</v>
      </c>
      <c r="J264" t="s">
        <v>23</v>
      </c>
      <c r="K264">
        <v>3</v>
      </c>
      <c r="L264" t="s">
        <v>46</v>
      </c>
      <c r="M264" s="9">
        <v>18050</v>
      </c>
      <c r="N264" t="s">
        <v>60</v>
      </c>
      <c r="O264" t="s">
        <v>54</v>
      </c>
      <c r="P264" t="s">
        <v>27</v>
      </c>
      <c r="Q264" s="2">
        <v>44937</v>
      </c>
      <c r="R264" s="13">
        <f t="shared" si="23"/>
        <v>1139.9999999965075</v>
      </c>
      <c r="S264" s="13">
        <f t="shared" si="24"/>
        <v>-2227.5751503003421</v>
      </c>
      <c r="T264" s="2">
        <v>44937.791666666664</v>
      </c>
      <c r="U264" t="s">
        <v>55</v>
      </c>
      <c r="V264" t="s">
        <v>29</v>
      </c>
      <c r="W264" t="s">
        <v>30</v>
      </c>
      <c r="X264">
        <v>9</v>
      </c>
      <c r="Y264">
        <v>10</v>
      </c>
      <c r="Z264" t="s">
        <v>31</v>
      </c>
    </row>
    <row r="265" spans="1:26">
      <c r="A265" t="s">
        <v>322</v>
      </c>
      <c r="B265">
        <v>48</v>
      </c>
      <c r="C265" t="str">
        <f t="shared" si="20"/>
        <v>36-50</v>
      </c>
      <c r="D265" t="s">
        <v>45</v>
      </c>
      <c r="E265" s="2">
        <v>45395</v>
      </c>
      <c r="F265" s="2" t="str">
        <f t="shared" ca="1" si="21"/>
        <v>No</v>
      </c>
      <c r="G265" s="2" t="str">
        <f t="shared" si="22"/>
        <v>Apr-2024</v>
      </c>
      <c r="H265" s="2">
        <v>45400</v>
      </c>
      <c r="I265">
        <v>5</v>
      </c>
      <c r="J265" t="s">
        <v>57</v>
      </c>
      <c r="K265">
        <v>2</v>
      </c>
      <c r="L265" t="s">
        <v>46</v>
      </c>
      <c r="M265" s="9">
        <v>41142</v>
      </c>
      <c r="N265" t="s">
        <v>25</v>
      </c>
      <c r="O265" t="s">
        <v>54</v>
      </c>
      <c r="P265" t="s">
        <v>41</v>
      </c>
      <c r="Q265" s="2">
        <v>45539</v>
      </c>
      <c r="R265" s="13">
        <f t="shared" si="23"/>
        <v>43380</v>
      </c>
      <c r="S265" s="13">
        <f t="shared" si="24"/>
        <v>-2059.5991983965278</v>
      </c>
      <c r="T265" s="2">
        <v>45569.125</v>
      </c>
      <c r="U265" t="s">
        <v>64</v>
      </c>
      <c r="V265" t="s">
        <v>29</v>
      </c>
      <c r="W265" t="s">
        <v>47</v>
      </c>
      <c r="X265">
        <v>6</v>
      </c>
      <c r="Y265">
        <v>12</v>
      </c>
      <c r="Z265" t="s">
        <v>48</v>
      </c>
    </row>
    <row r="266" spans="1:26">
      <c r="A266" t="s">
        <v>323</v>
      </c>
      <c r="B266">
        <v>80</v>
      </c>
      <c r="C266" t="str">
        <f t="shared" si="20"/>
        <v>66+</v>
      </c>
      <c r="D266" t="s">
        <v>22</v>
      </c>
      <c r="E266" s="2">
        <v>45250</v>
      </c>
      <c r="F266" s="2" t="str">
        <f t="shared" ca="1" si="21"/>
        <v>No</v>
      </c>
      <c r="G266" s="2" t="str">
        <f t="shared" si="22"/>
        <v>Nov-2023</v>
      </c>
      <c r="H266" s="2">
        <v>45260</v>
      </c>
      <c r="I266">
        <v>10</v>
      </c>
      <c r="J266" t="s">
        <v>34</v>
      </c>
      <c r="K266">
        <v>2</v>
      </c>
      <c r="L266" t="s">
        <v>66</v>
      </c>
      <c r="M266" s="9">
        <v>46615</v>
      </c>
      <c r="N266" t="s">
        <v>53</v>
      </c>
      <c r="O266" t="s">
        <v>26</v>
      </c>
      <c r="P266" t="s">
        <v>27</v>
      </c>
      <c r="Q266" s="2">
        <v>45247</v>
      </c>
      <c r="R266" s="13">
        <f t="shared" si="23"/>
        <v>360</v>
      </c>
      <c r="S266" s="13">
        <f t="shared" si="24"/>
        <v>-2141.3627254506428</v>
      </c>
      <c r="T266" s="2">
        <v>45247.25</v>
      </c>
      <c r="U266" t="s">
        <v>64</v>
      </c>
      <c r="V266" t="s">
        <v>29</v>
      </c>
      <c r="W266" t="s">
        <v>30</v>
      </c>
      <c r="X266">
        <v>10</v>
      </c>
      <c r="Y266">
        <v>12</v>
      </c>
      <c r="Z266" t="s">
        <v>68</v>
      </c>
    </row>
    <row r="267" spans="1:26">
      <c r="A267" t="s">
        <v>324</v>
      </c>
      <c r="B267">
        <v>3</v>
      </c>
      <c r="C267" t="str">
        <f t="shared" si="20"/>
        <v>0-17</v>
      </c>
      <c r="D267" t="s">
        <v>52</v>
      </c>
      <c r="E267" s="2">
        <v>45001</v>
      </c>
      <c r="F267" s="2" t="str">
        <f t="shared" ca="1" si="21"/>
        <v>No</v>
      </c>
      <c r="G267" s="2" t="str">
        <f t="shared" si="22"/>
        <v>Mar-2023</v>
      </c>
      <c r="H267" s="2">
        <v>45005</v>
      </c>
      <c r="I267">
        <v>4</v>
      </c>
      <c r="J267" t="s">
        <v>57</v>
      </c>
      <c r="K267">
        <v>3</v>
      </c>
      <c r="L267" t="s">
        <v>71</v>
      </c>
      <c r="M267" s="9">
        <v>48728</v>
      </c>
      <c r="N267" t="s">
        <v>60</v>
      </c>
      <c r="O267" t="s">
        <v>26</v>
      </c>
      <c r="P267" t="s">
        <v>27</v>
      </c>
      <c r="Q267" s="2">
        <v>45263</v>
      </c>
      <c r="R267" s="13">
        <f t="shared" si="23"/>
        <v>480.00000000349246</v>
      </c>
      <c r="S267" s="13">
        <f t="shared" si="24"/>
        <v>-2136.312625250242</v>
      </c>
      <c r="T267" s="2">
        <v>45263.333333333336</v>
      </c>
      <c r="U267" t="s">
        <v>28</v>
      </c>
      <c r="V267" t="s">
        <v>29</v>
      </c>
      <c r="W267" t="s">
        <v>43</v>
      </c>
      <c r="X267">
        <v>7</v>
      </c>
      <c r="Y267">
        <v>12</v>
      </c>
      <c r="Z267" t="s">
        <v>31</v>
      </c>
    </row>
    <row r="268" spans="1:26">
      <c r="A268" t="s">
        <v>325</v>
      </c>
      <c r="B268">
        <v>20</v>
      </c>
      <c r="C268" t="str">
        <f t="shared" si="20"/>
        <v>18-35</v>
      </c>
      <c r="D268" t="s">
        <v>22</v>
      </c>
      <c r="E268" s="2">
        <v>45200</v>
      </c>
      <c r="F268" s="2" t="str">
        <f t="shared" ca="1" si="21"/>
        <v>No</v>
      </c>
      <c r="G268" s="2" t="str">
        <f t="shared" si="22"/>
        <v>Oct-2023</v>
      </c>
      <c r="H268" s="2">
        <v>44949</v>
      </c>
      <c r="I268">
        <v>13</v>
      </c>
      <c r="J268" t="s">
        <v>34</v>
      </c>
      <c r="K268">
        <v>4</v>
      </c>
      <c r="L268" t="s">
        <v>35</v>
      </c>
      <c r="M268" s="9">
        <v>18535</v>
      </c>
      <c r="N268" t="s">
        <v>36</v>
      </c>
      <c r="O268" t="s">
        <v>54</v>
      </c>
      <c r="P268" t="s">
        <v>27</v>
      </c>
      <c r="Q268" s="2">
        <v>45139</v>
      </c>
      <c r="R268" s="13">
        <f t="shared" si="23"/>
        <v>46020.000000003492</v>
      </c>
      <c r="S268" s="13">
        <f t="shared" si="24"/>
        <v>-2135.8316633264012</v>
      </c>
      <c r="T268" s="2">
        <v>45170.958333333336</v>
      </c>
      <c r="U268" t="s">
        <v>37</v>
      </c>
      <c r="V268" t="s">
        <v>29</v>
      </c>
      <c r="W268" t="s">
        <v>47</v>
      </c>
      <c r="X268">
        <v>9</v>
      </c>
      <c r="Y268">
        <v>10</v>
      </c>
      <c r="Z268" t="s">
        <v>68</v>
      </c>
    </row>
    <row r="269" spans="1:26">
      <c r="A269" t="s">
        <v>326</v>
      </c>
      <c r="B269">
        <v>24</v>
      </c>
      <c r="C269" t="str">
        <f t="shared" si="20"/>
        <v>18-35</v>
      </c>
      <c r="D269" t="s">
        <v>62</v>
      </c>
      <c r="E269" s="2">
        <v>45396</v>
      </c>
      <c r="F269" s="2" t="str">
        <f t="shared" ca="1" si="21"/>
        <v>No</v>
      </c>
      <c r="G269" s="2" t="str">
        <f t="shared" si="22"/>
        <v>Apr-2024</v>
      </c>
      <c r="H269" s="2">
        <v>45403</v>
      </c>
      <c r="I269">
        <v>7</v>
      </c>
      <c r="J269" t="s">
        <v>63</v>
      </c>
      <c r="K269">
        <v>2</v>
      </c>
      <c r="L269" t="s">
        <v>46</v>
      </c>
      <c r="M269" s="9">
        <v>46002</v>
      </c>
      <c r="N269" t="s">
        <v>53</v>
      </c>
      <c r="O269" t="s">
        <v>54</v>
      </c>
      <c r="P269" t="s">
        <v>41</v>
      </c>
      <c r="Q269" s="2">
        <v>45569</v>
      </c>
      <c r="R269" s="13">
        <f t="shared" si="23"/>
        <v>599.99999999650754</v>
      </c>
      <c r="S269" s="13">
        <f t="shared" si="24"/>
        <v>-2227.0941883765017</v>
      </c>
      <c r="T269" s="2">
        <v>45569.416666666664</v>
      </c>
      <c r="U269" t="s">
        <v>42</v>
      </c>
      <c r="V269" t="s">
        <v>29</v>
      </c>
      <c r="W269" t="s">
        <v>30</v>
      </c>
      <c r="X269">
        <v>11</v>
      </c>
      <c r="Y269">
        <v>8</v>
      </c>
      <c r="Z269" t="s">
        <v>48</v>
      </c>
    </row>
    <row r="270" spans="1:26">
      <c r="A270" t="s">
        <v>327</v>
      </c>
      <c r="B270">
        <v>54</v>
      </c>
      <c r="C270" t="str">
        <f t="shared" si="20"/>
        <v>51-65</v>
      </c>
      <c r="D270" t="s">
        <v>45</v>
      </c>
      <c r="E270" s="2">
        <v>45029</v>
      </c>
      <c r="F270" s="2" t="str">
        <f t="shared" ca="1" si="21"/>
        <v>No</v>
      </c>
      <c r="G270" s="2" t="str">
        <f t="shared" si="22"/>
        <v>Apr-2023</v>
      </c>
      <c r="H270" s="2">
        <v>45043</v>
      </c>
      <c r="I270">
        <v>14</v>
      </c>
      <c r="J270" t="s">
        <v>50</v>
      </c>
      <c r="K270">
        <v>1</v>
      </c>
      <c r="L270" t="s">
        <v>66</v>
      </c>
      <c r="M270" s="9">
        <v>48271</v>
      </c>
      <c r="N270" t="s">
        <v>67</v>
      </c>
      <c r="O270" t="s">
        <v>26</v>
      </c>
      <c r="P270" t="s">
        <v>27</v>
      </c>
      <c r="Q270" s="2">
        <v>45142</v>
      </c>
      <c r="R270" s="13">
        <f t="shared" si="23"/>
        <v>1380.0000000034925</v>
      </c>
      <c r="S270" s="13">
        <f t="shared" si="24"/>
        <v>-2228.1763527051589</v>
      </c>
      <c r="T270" s="2">
        <v>45142.958333333336</v>
      </c>
      <c r="U270" t="s">
        <v>64</v>
      </c>
      <c r="V270" t="s">
        <v>29</v>
      </c>
      <c r="W270" t="s">
        <v>47</v>
      </c>
      <c r="X270">
        <v>7</v>
      </c>
      <c r="Y270">
        <v>10</v>
      </c>
      <c r="Z270" t="s">
        <v>31</v>
      </c>
    </row>
    <row r="271" spans="1:26">
      <c r="A271" t="s">
        <v>328</v>
      </c>
      <c r="B271">
        <v>33</v>
      </c>
      <c r="C271" t="str">
        <f t="shared" si="20"/>
        <v>18-35</v>
      </c>
      <c r="D271" t="s">
        <v>22</v>
      </c>
      <c r="E271" s="2">
        <v>45002</v>
      </c>
      <c r="F271" s="2" t="str">
        <f t="shared" ca="1" si="21"/>
        <v>No</v>
      </c>
      <c r="G271" s="2" t="str">
        <f t="shared" si="22"/>
        <v>Mar-2023</v>
      </c>
      <c r="H271" s="2">
        <v>45011</v>
      </c>
      <c r="I271">
        <v>9</v>
      </c>
      <c r="J271" t="s">
        <v>23</v>
      </c>
      <c r="K271">
        <v>3</v>
      </c>
      <c r="L271" t="s">
        <v>71</v>
      </c>
      <c r="M271" s="9">
        <v>10122</v>
      </c>
      <c r="N271" t="s">
        <v>25</v>
      </c>
      <c r="O271" t="s">
        <v>26</v>
      </c>
      <c r="P271" t="s">
        <v>27</v>
      </c>
      <c r="Q271" s="2">
        <v>44998</v>
      </c>
      <c r="R271" s="13">
        <f t="shared" si="23"/>
        <v>1200.0000000034925</v>
      </c>
      <c r="S271" s="13">
        <f t="shared" si="24"/>
        <v>-2225.4108216430486</v>
      </c>
      <c r="T271" s="2">
        <v>44998.833333333336</v>
      </c>
      <c r="U271" t="s">
        <v>42</v>
      </c>
      <c r="V271" t="s">
        <v>29</v>
      </c>
      <c r="W271" t="s">
        <v>30</v>
      </c>
      <c r="X271">
        <v>11</v>
      </c>
      <c r="Y271">
        <v>12</v>
      </c>
      <c r="Z271" t="s">
        <v>48</v>
      </c>
    </row>
    <row r="272" spans="1:26">
      <c r="A272" t="s">
        <v>329</v>
      </c>
      <c r="B272">
        <v>24</v>
      </c>
      <c r="C272" t="str">
        <f t="shared" si="20"/>
        <v>18-35</v>
      </c>
      <c r="D272" t="s">
        <v>52</v>
      </c>
      <c r="E272" s="2">
        <v>45115</v>
      </c>
      <c r="F272" s="2" t="str">
        <f t="shared" ca="1" si="21"/>
        <v>No</v>
      </c>
      <c r="G272" s="2" t="str">
        <f t="shared" si="22"/>
        <v>Jul-2023</v>
      </c>
      <c r="H272" s="2">
        <v>45158</v>
      </c>
      <c r="I272">
        <v>13</v>
      </c>
      <c r="J272" t="s">
        <v>50</v>
      </c>
      <c r="K272">
        <v>2</v>
      </c>
      <c r="L272" t="s">
        <v>71</v>
      </c>
      <c r="M272" s="9">
        <v>14852</v>
      </c>
      <c r="N272" t="s">
        <v>67</v>
      </c>
      <c r="O272" t="s">
        <v>54</v>
      </c>
      <c r="P272" t="s">
        <v>27</v>
      </c>
      <c r="Q272" s="2">
        <v>45115</v>
      </c>
      <c r="R272" s="13">
        <f t="shared" si="23"/>
        <v>1319.9999999965075</v>
      </c>
      <c r="S272" s="13">
        <f t="shared" si="24"/>
        <v>-2226.7334669336369</v>
      </c>
      <c r="T272" s="2">
        <v>45115.916666666664</v>
      </c>
      <c r="U272" t="s">
        <v>55</v>
      </c>
      <c r="V272" t="s">
        <v>29</v>
      </c>
      <c r="W272" t="s">
        <v>47</v>
      </c>
      <c r="X272">
        <v>9</v>
      </c>
      <c r="Y272">
        <v>8</v>
      </c>
      <c r="Z272" t="s">
        <v>68</v>
      </c>
    </row>
    <row r="273" spans="1:26">
      <c r="A273" t="s">
        <v>330</v>
      </c>
      <c r="B273">
        <v>75</v>
      </c>
      <c r="C273" t="str">
        <f t="shared" si="20"/>
        <v>66+</v>
      </c>
      <c r="D273" t="s">
        <v>22</v>
      </c>
      <c r="E273" s="2">
        <v>45328</v>
      </c>
      <c r="F273" s="2" t="str">
        <f t="shared" ca="1" si="21"/>
        <v>No</v>
      </c>
      <c r="G273" s="2" t="str">
        <f t="shared" si="22"/>
        <v>Feb-2024</v>
      </c>
      <c r="H273" s="2">
        <v>45459</v>
      </c>
      <c r="I273">
        <v>14</v>
      </c>
      <c r="J273" t="s">
        <v>57</v>
      </c>
      <c r="K273">
        <v>4</v>
      </c>
      <c r="L273" t="s">
        <v>71</v>
      </c>
      <c r="M273" s="9">
        <v>10387</v>
      </c>
      <c r="N273" t="s">
        <v>67</v>
      </c>
      <c r="O273" t="s">
        <v>54</v>
      </c>
      <c r="P273" t="s">
        <v>27</v>
      </c>
      <c r="Q273" s="2">
        <v>45297</v>
      </c>
      <c r="R273" s="13">
        <f t="shared" si="23"/>
        <v>45000</v>
      </c>
      <c r="S273" s="13">
        <f t="shared" si="24"/>
        <v>-2223.9679358715057</v>
      </c>
      <c r="T273" s="2">
        <v>45328.25</v>
      </c>
      <c r="U273" t="s">
        <v>37</v>
      </c>
      <c r="V273" t="s">
        <v>29</v>
      </c>
      <c r="W273" t="s">
        <v>30</v>
      </c>
      <c r="X273">
        <v>10</v>
      </c>
      <c r="Y273">
        <v>10</v>
      </c>
      <c r="Z273" t="s">
        <v>48</v>
      </c>
    </row>
    <row r="274" spans="1:26">
      <c r="A274" t="s">
        <v>331</v>
      </c>
      <c r="B274">
        <v>72</v>
      </c>
      <c r="C274" t="str">
        <f t="shared" si="20"/>
        <v>66+</v>
      </c>
      <c r="D274" t="s">
        <v>33</v>
      </c>
      <c r="E274" s="2">
        <v>45198</v>
      </c>
      <c r="F274" s="2" t="str">
        <f t="shared" ca="1" si="21"/>
        <v>No</v>
      </c>
      <c r="G274" s="2" t="str">
        <f t="shared" si="22"/>
        <v>Sep-2023</v>
      </c>
      <c r="H274" s="2">
        <v>45179</v>
      </c>
      <c r="I274">
        <v>10</v>
      </c>
      <c r="J274" t="s">
        <v>50</v>
      </c>
      <c r="K274">
        <v>2</v>
      </c>
      <c r="L274" t="s">
        <v>71</v>
      </c>
      <c r="M274" s="9">
        <v>36759</v>
      </c>
      <c r="N274" t="s">
        <v>53</v>
      </c>
      <c r="O274" t="s">
        <v>54</v>
      </c>
      <c r="P274" t="s">
        <v>27</v>
      </c>
      <c r="Q274" s="2">
        <v>45198</v>
      </c>
      <c r="R274" s="13">
        <f t="shared" si="23"/>
        <v>840.00000000349246</v>
      </c>
      <c r="S274" s="13">
        <f t="shared" si="24"/>
        <v>-2314.0280561119935</v>
      </c>
      <c r="T274" s="2">
        <v>45198.583333333336</v>
      </c>
      <c r="U274" t="s">
        <v>28</v>
      </c>
      <c r="V274" t="s">
        <v>29</v>
      </c>
      <c r="W274" t="s">
        <v>43</v>
      </c>
      <c r="X274">
        <v>4</v>
      </c>
      <c r="Y274">
        <v>12</v>
      </c>
      <c r="Z274" t="s">
        <v>48</v>
      </c>
    </row>
    <row r="275" spans="1:26">
      <c r="A275" t="s">
        <v>332</v>
      </c>
      <c r="B275">
        <v>36</v>
      </c>
      <c r="C275" t="str">
        <f t="shared" si="20"/>
        <v>36-50</v>
      </c>
      <c r="D275" t="s">
        <v>52</v>
      </c>
      <c r="E275" s="2">
        <v>45062</v>
      </c>
      <c r="F275" s="2" t="str">
        <f t="shared" ca="1" si="21"/>
        <v>No</v>
      </c>
      <c r="G275" s="2" t="str">
        <f t="shared" si="22"/>
        <v>May-2023</v>
      </c>
      <c r="H275" s="2">
        <v>45072</v>
      </c>
      <c r="I275">
        <v>10</v>
      </c>
      <c r="J275" t="s">
        <v>63</v>
      </c>
      <c r="K275">
        <v>5</v>
      </c>
      <c r="L275" t="s">
        <v>71</v>
      </c>
      <c r="M275" s="9">
        <v>45399</v>
      </c>
      <c r="N275" t="s">
        <v>67</v>
      </c>
      <c r="O275" t="s">
        <v>54</v>
      </c>
      <c r="P275" t="s">
        <v>41</v>
      </c>
      <c r="Q275" s="2">
        <v>45059</v>
      </c>
      <c r="R275" s="13">
        <f t="shared" si="23"/>
        <v>2039.9999999965075</v>
      </c>
      <c r="S275" s="13">
        <f t="shared" si="24"/>
        <v>-2314.3887775548792</v>
      </c>
      <c r="T275" s="2">
        <v>45060.416666666664</v>
      </c>
      <c r="U275" t="s">
        <v>42</v>
      </c>
      <c r="V275" t="s">
        <v>29</v>
      </c>
      <c r="W275" t="s">
        <v>30</v>
      </c>
      <c r="X275">
        <v>10</v>
      </c>
      <c r="Y275">
        <v>10</v>
      </c>
      <c r="Z275" t="s">
        <v>68</v>
      </c>
    </row>
    <row r="276" spans="1:26">
      <c r="A276" t="s">
        <v>333</v>
      </c>
      <c r="B276">
        <v>38</v>
      </c>
      <c r="C276" t="str">
        <f t="shared" si="20"/>
        <v>36-50</v>
      </c>
      <c r="D276" t="s">
        <v>62</v>
      </c>
      <c r="E276" s="2">
        <v>45284</v>
      </c>
      <c r="F276" s="2" t="str">
        <f t="shared" ca="1" si="21"/>
        <v>No</v>
      </c>
      <c r="G276" s="2" t="str">
        <f t="shared" si="22"/>
        <v>Dec-2023</v>
      </c>
      <c r="H276" s="2">
        <v>45383</v>
      </c>
      <c r="I276">
        <v>11</v>
      </c>
      <c r="J276" t="s">
        <v>23</v>
      </c>
      <c r="K276">
        <v>1</v>
      </c>
      <c r="L276" t="s">
        <v>46</v>
      </c>
      <c r="M276" s="9">
        <v>44994</v>
      </c>
      <c r="N276" t="s">
        <v>60</v>
      </c>
      <c r="O276" t="s">
        <v>54</v>
      </c>
      <c r="P276" t="s">
        <v>27</v>
      </c>
      <c r="Q276" s="2">
        <v>45282</v>
      </c>
      <c r="R276" s="13">
        <f t="shared" si="23"/>
        <v>1859.9999999965075</v>
      </c>
      <c r="S276" s="13">
        <f t="shared" si="24"/>
        <v>-2228.0561122242038</v>
      </c>
      <c r="T276" s="2">
        <v>45283.291666666664</v>
      </c>
      <c r="U276" t="s">
        <v>37</v>
      </c>
      <c r="V276" t="s">
        <v>29</v>
      </c>
      <c r="W276" t="s">
        <v>47</v>
      </c>
      <c r="X276">
        <v>9</v>
      </c>
      <c r="Y276">
        <v>8</v>
      </c>
      <c r="Z276" t="s">
        <v>48</v>
      </c>
    </row>
    <row r="277" spans="1:26">
      <c r="A277" t="s">
        <v>334</v>
      </c>
      <c r="B277">
        <v>84</v>
      </c>
      <c r="C277" t="str">
        <f t="shared" si="20"/>
        <v>66+</v>
      </c>
      <c r="D277" t="s">
        <v>45</v>
      </c>
      <c r="E277" s="2">
        <v>45263</v>
      </c>
      <c r="F277" s="2" t="str">
        <f t="shared" ca="1" si="21"/>
        <v>No</v>
      </c>
      <c r="G277" s="2" t="str">
        <f t="shared" si="22"/>
        <v>Dec-2023</v>
      </c>
      <c r="H277" s="2">
        <v>45008</v>
      </c>
      <c r="I277">
        <v>11</v>
      </c>
      <c r="J277" t="s">
        <v>57</v>
      </c>
      <c r="K277">
        <v>3</v>
      </c>
      <c r="L277" t="s">
        <v>66</v>
      </c>
      <c r="M277" s="9">
        <v>42876</v>
      </c>
      <c r="N277" t="s">
        <v>67</v>
      </c>
      <c r="O277" t="s">
        <v>26</v>
      </c>
      <c r="P277" t="s">
        <v>41</v>
      </c>
      <c r="Q277" s="2">
        <v>45202</v>
      </c>
      <c r="R277" s="13">
        <f t="shared" si="23"/>
        <v>1380.0000000034925</v>
      </c>
      <c r="S277" s="13">
        <f t="shared" si="24"/>
        <v>-2229.0180360718855</v>
      </c>
      <c r="T277" s="2">
        <v>45202.958333333336</v>
      </c>
      <c r="U277" t="s">
        <v>28</v>
      </c>
      <c r="V277" t="s">
        <v>29</v>
      </c>
      <c r="W277" t="s">
        <v>47</v>
      </c>
      <c r="X277">
        <v>6</v>
      </c>
      <c r="Y277">
        <v>12</v>
      </c>
      <c r="Z277" t="s">
        <v>68</v>
      </c>
    </row>
    <row r="278" spans="1:26">
      <c r="A278" t="s">
        <v>335</v>
      </c>
      <c r="B278">
        <v>89</v>
      </c>
      <c r="C278" t="str">
        <f t="shared" si="20"/>
        <v>66+</v>
      </c>
      <c r="D278" t="s">
        <v>22</v>
      </c>
      <c r="E278" s="2">
        <v>45147</v>
      </c>
      <c r="F278" s="2" t="str">
        <f t="shared" ca="1" si="21"/>
        <v>No</v>
      </c>
      <c r="G278" s="2" t="str">
        <f t="shared" si="22"/>
        <v>Aug-2023</v>
      </c>
      <c r="H278" s="2">
        <v>45186</v>
      </c>
      <c r="I278">
        <v>9</v>
      </c>
      <c r="J278" t="s">
        <v>23</v>
      </c>
      <c r="K278">
        <v>5</v>
      </c>
      <c r="L278" t="s">
        <v>71</v>
      </c>
      <c r="M278" s="9">
        <v>39878</v>
      </c>
      <c r="N278" t="s">
        <v>25</v>
      </c>
      <c r="O278" t="s">
        <v>26</v>
      </c>
      <c r="P278" t="s">
        <v>41</v>
      </c>
      <c r="Q278" s="2">
        <v>45025</v>
      </c>
      <c r="R278" s="13">
        <f t="shared" si="23"/>
        <v>43619.999999996508</v>
      </c>
      <c r="S278" s="13">
        <f t="shared" si="24"/>
        <v>-2227.6953907813181</v>
      </c>
      <c r="T278" s="2">
        <v>45055.291666666664</v>
      </c>
      <c r="U278" t="s">
        <v>42</v>
      </c>
      <c r="V278" t="s">
        <v>29</v>
      </c>
      <c r="W278" t="s">
        <v>43</v>
      </c>
      <c r="X278">
        <v>10</v>
      </c>
      <c r="Y278">
        <v>10</v>
      </c>
      <c r="Z278" t="s">
        <v>31</v>
      </c>
    </row>
    <row r="279" spans="1:26">
      <c r="A279" t="s">
        <v>336</v>
      </c>
      <c r="B279">
        <v>25</v>
      </c>
      <c r="C279" t="str">
        <f t="shared" si="20"/>
        <v>18-35</v>
      </c>
      <c r="D279" t="s">
        <v>52</v>
      </c>
      <c r="E279" s="2">
        <v>45305</v>
      </c>
      <c r="F279" s="2" t="str">
        <f t="shared" ca="1" si="21"/>
        <v>No</v>
      </c>
      <c r="G279" s="2" t="str">
        <f t="shared" si="22"/>
        <v>Jan-2024</v>
      </c>
      <c r="H279" s="2">
        <v>45306</v>
      </c>
      <c r="I279">
        <v>1</v>
      </c>
      <c r="J279" t="s">
        <v>34</v>
      </c>
      <c r="K279">
        <v>4</v>
      </c>
      <c r="L279" t="s">
        <v>24</v>
      </c>
      <c r="M279" s="9">
        <v>38725</v>
      </c>
      <c r="N279" t="s">
        <v>25</v>
      </c>
      <c r="O279" t="s">
        <v>26</v>
      </c>
      <c r="P279" t="s">
        <v>27</v>
      </c>
      <c r="Q279" s="2">
        <v>45627</v>
      </c>
      <c r="R279" s="13">
        <f t="shared" si="23"/>
        <v>419.99999999650754</v>
      </c>
      <c r="S279" s="13">
        <f t="shared" si="24"/>
        <v>-2311.0220440879316</v>
      </c>
      <c r="T279" s="2">
        <v>45627.291666666664</v>
      </c>
      <c r="U279" t="s">
        <v>37</v>
      </c>
      <c r="V279" t="s">
        <v>29</v>
      </c>
      <c r="W279" t="s">
        <v>47</v>
      </c>
      <c r="X279">
        <v>8</v>
      </c>
      <c r="Y279">
        <v>8</v>
      </c>
      <c r="Z279" t="s">
        <v>68</v>
      </c>
    </row>
    <row r="280" spans="1:26">
      <c r="A280" t="s">
        <v>337</v>
      </c>
      <c r="B280">
        <v>18</v>
      </c>
      <c r="C280" t="str">
        <f t="shared" si="20"/>
        <v>18-35</v>
      </c>
      <c r="D280" t="s">
        <v>33</v>
      </c>
      <c r="E280" s="2">
        <v>45218</v>
      </c>
      <c r="F280" s="2" t="str">
        <f t="shared" ca="1" si="21"/>
        <v>No</v>
      </c>
      <c r="G280" s="2" t="str">
        <f t="shared" si="22"/>
        <v>Oct-2023</v>
      </c>
      <c r="H280" s="2">
        <v>45228</v>
      </c>
      <c r="I280">
        <v>10</v>
      </c>
      <c r="J280" t="s">
        <v>50</v>
      </c>
      <c r="K280">
        <v>5</v>
      </c>
      <c r="L280" t="s">
        <v>24</v>
      </c>
      <c r="M280" s="9">
        <v>12146</v>
      </c>
      <c r="N280" t="s">
        <v>36</v>
      </c>
      <c r="O280" t="s">
        <v>54</v>
      </c>
      <c r="P280" t="s">
        <v>27</v>
      </c>
      <c r="Q280" s="2">
        <v>45217</v>
      </c>
      <c r="R280" s="13">
        <f t="shared" si="23"/>
        <v>1740.0000000034925</v>
      </c>
      <c r="S280" s="13">
        <f t="shared" si="24"/>
        <v>-2306.2124248494406</v>
      </c>
      <c r="T280" s="2">
        <v>45218.208333333336</v>
      </c>
      <c r="U280" t="s">
        <v>64</v>
      </c>
      <c r="V280" t="s">
        <v>29</v>
      </c>
      <c r="W280" t="s">
        <v>43</v>
      </c>
      <c r="X280">
        <v>6</v>
      </c>
      <c r="Y280">
        <v>8</v>
      </c>
      <c r="Z280" t="s">
        <v>68</v>
      </c>
    </row>
    <row r="281" spans="1:26">
      <c r="A281" t="s">
        <v>338</v>
      </c>
      <c r="B281">
        <v>82</v>
      </c>
      <c r="C281" t="str">
        <f t="shared" si="20"/>
        <v>66+</v>
      </c>
      <c r="D281" t="s">
        <v>52</v>
      </c>
      <c r="E281" s="2">
        <v>45236</v>
      </c>
      <c r="F281" s="2" t="str">
        <f t="shared" ca="1" si="21"/>
        <v>No</v>
      </c>
      <c r="G281" s="2" t="str">
        <f t="shared" si="22"/>
        <v>Nov-2023</v>
      </c>
      <c r="H281" s="2">
        <v>45103</v>
      </c>
      <c r="I281">
        <v>15</v>
      </c>
      <c r="J281" t="s">
        <v>23</v>
      </c>
      <c r="K281">
        <v>5</v>
      </c>
      <c r="L281" t="s">
        <v>66</v>
      </c>
      <c r="M281" s="9">
        <v>5560</v>
      </c>
      <c r="N281" t="s">
        <v>25</v>
      </c>
      <c r="O281" t="s">
        <v>26</v>
      </c>
      <c r="P281" t="s">
        <v>27</v>
      </c>
      <c r="Q281" s="2">
        <v>45205</v>
      </c>
      <c r="R281" s="13">
        <f t="shared" si="23"/>
        <v>46020.000000003492</v>
      </c>
      <c r="S281" s="13">
        <f t="shared" si="24"/>
        <v>-2307.6553106209835</v>
      </c>
      <c r="T281" s="2">
        <v>45236.958333333336</v>
      </c>
      <c r="U281" t="s">
        <v>42</v>
      </c>
      <c r="V281" t="s">
        <v>29</v>
      </c>
      <c r="W281" t="s">
        <v>47</v>
      </c>
      <c r="X281">
        <v>6</v>
      </c>
      <c r="Y281">
        <v>10</v>
      </c>
      <c r="Z281" t="s">
        <v>31</v>
      </c>
    </row>
    <row r="282" spans="1:26">
      <c r="A282" t="s">
        <v>339</v>
      </c>
      <c r="B282">
        <v>66</v>
      </c>
      <c r="C282" t="str">
        <f t="shared" si="20"/>
        <v>66+</v>
      </c>
      <c r="D282" t="s">
        <v>41</v>
      </c>
      <c r="E282" s="2">
        <v>45375</v>
      </c>
      <c r="F282" s="2" t="str">
        <f t="shared" ca="1" si="21"/>
        <v>No</v>
      </c>
      <c r="G282" s="2" t="str">
        <f t="shared" si="22"/>
        <v>Mar-2024</v>
      </c>
      <c r="H282" s="2">
        <v>45386</v>
      </c>
      <c r="I282">
        <v>11</v>
      </c>
      <c r="J282" t="s">
        <v>40</v>
      </c>
      <c r="K282">
        <v>4</v>
      </c>
      <c r="L282" t="s">
        <v>35</v>
      </c>
      <c r="M282" s="9">
        <v>6312</v>
      </c>
      <c r="N282" t="s">
        <v>67</v>
      </c>
      <c r="O282" t="s">
        <v>26</v>
      </c>
      <c r="P282" t="s">
        <v>27</v>
      </c>
      <c r="Q282" s="2">
        <v>45371</v>
      </c>
      <c r="R282" s="13">
        <f t="shared" si="23"/>
        <v>2700</v>
      </c>
      <c r="S282" s="13">
        <f t="shared" si="24"/>
        <v>-2398.5571142281979</v>
      </c>
      <c r="T282" s="2">
        <v>45372.875</v>
      </c>
      <c r="U282" t="s">
        <v>37</v>
      </c>
      <c r="V282" t="s">
        <v>29</v>
      </c>
      <c r="W282" t="s">
        <v>47</v>
      </c>
      <c r="X282">
        <v>6</v>
      </c>
      <c r="Y282">
        <v>8</v>
      </c>
      <c r="Z282" t="s">
        <v>68</v>
      </c>
    </row>
    <row r="283" spans="1:26">
      <c r="A283" t="s">
        <v>340</v>
      </c>
      <c r="B283">
        <v>54</v>
      </c>
      <c r="C283" t="str">
        <f t="shared" si="20"/>
        <v>51-65</v>
      </c>
      <c r="D283" t="s">
        <v>33</v>
      </c>
      <c r="E283" s="2">
        <v>45088</v>
      </c>
      <c r="F283" s="2" t="str">
        <f t="shared" ca="1" si="21"/>
        <v>No</v>
      </c>
      <c r="G283" s="2" t="str">
        <f t="shared" si="22"/>
        <v>Jun-2023</v>
      </c>
      <c r="H283" s="2">
        <v>45250</v>
      </c>
      <c r="I283">
        <v>14</v>
      </c>
      <c r="J283" t="s">
        <v>50</v>
      </c>
      <c r="K283">
        <v>5</v>
      </c>
      <c r="L283" t="s">
        <v>35</v>
      </c>
      <c r="M283" s="9">
        <v>23205</v>
      </c>
      <c r="N283" t="s">
        <v>25</v>
      </c>
      <c r="O283" t="s">
        <v>54</v>
      </c>
      <c r="P283" t="s">
        <v>27</v>
      </c>
      <c r="Q283" s="2">
        <v>44968</v>
      </c>
      <c r="R283" s="13">
        <f t="shared" si="23"/>
        <v>40620.000000003492</v>
      </c>
      <c r="S283" s="13">
        <f t="shared" si="24"/>
        <v>-2401.0821643283984</v>
      </c>
      <c r="T283" s="2">
        <v>44996.208333333336</v>
      </c>
      <c r="U283" t="s">
        <v>28</v>
      </c>
      <c r="V283" t="s">
        <v>29</v>
      </c>
      <c r="W283" t="s">
        <v>43</v>
      </c>
      <c r="X283">
        <v>7</v>
      </c>
      <c r="Y283">
        <v>12</v>
      </c>
      <c r="Z283" t="s">
        <v>31</v>
      </c>
    </row>
    <row r="284" spans="1:26">
      <c r="A284" t="s">
        <v>341</v>
      </c>
      <c r="B284">
        <v>35</v>
      </c>
      <c r="C284" t="str">
        <f t="shared" si="20"/>
        <v>18-35</v>
      </c>
      <c r="D284" t="s">
        <v>62</v>
      </c>
      <c r="E284" s="2">
        <v>45170</v>
      </c>
      <c r="F284" s="2" t="str">
        <f t="shared" ca="1" si="21"/>
        <v>No</v>
      </c>
      <c r="G284" s="2" t="str">
        <f t="shared" si="22"/>
        <v>Sep-2023</v>
      </c>
      <c r="H284" s="2">
        <v>44947</v>
      </c>
      <c r="I284">
        <v>12</v>
      </c>
      <c r="J284" t="s">
        <v>34</v>
      </c>
      <c r="K284">
        <v>3</v>
      </c>
      <c r="L284" t="s">
        <v>35</v>
      </c>
      <c r="M284" s="9">
        <v>16595</v>
      </c>
      <c r="N284" t="s">
        <v>53</v>
      </c>
      <c r="O284" t="s">
        <v>54</v>
      </c>
      <c r="P284" t="s">
        <v>27</v>
      </c>
      <c r="Q284" s="2">
        <v>45078</v>
      </c>
      <c r="R284" s="13">
        <f t="shared" si="23"/>
        <v>1260</v>
      </c>
      <c r="S284" s="13">
        <f t="shared" si="24"/>
        <v>-2481.4028056109705</v>
      </c>
      <c r="T284" s="2">
        <v>45078.875</v>
      </c>
      <c r="U284" t="s">
        <v>37</v>
      </c>
      <c r="V284" t="s">
        <v>29</v>
      </c>
      <c r="W284" t="s">
        <v>47</v>
      </c>
      <c r="X284">
        <v>5</v>
      </c>
      <c r="Y284">
        <v>8</v>
      </c>
      <c r="Z284" t="s">
        <v>31</v>
      </c>
    </row>
    <row r="285" spans="1:26">
      <c r="A285" t="s">
        <v>342</v>
      </c>
      <c r="B285">
        <v>80</v>
      </c>
      <c r="C285" t="str">
        <f t="shared" si="20"/>
        <v>66+</v>
      </c>
      <c r="D285" t="s">
        <v>45</v>
      </c>
      <c r="E285" s="2">
        <v>44996</v>
      </c>
      <c r="F285" s="2" t="str">
        <f t="shared" ca="1" si="21"/>
        <v>No</v>
      </c>
      <c r="G285" s="2" t="str">
        <f t="shared" si="22"/>
        <v>Mar-2023</v>
      </c>
      <c r="H285" s="2">
        <v>45149</v>
      </c>
      <c r="I285">
        <v>5</v>
      </c>
      <c r="J285" t="s">
        <v>23</v>
      </c>
      <c r="K285">
        <v>2</v>
      </c>
      <c r="L285" t="s">
        <v>24</v>
      </c>
      <c r="M285" s="9">
        <v>27030</v>
      </c>
      <c r="N285" t="s">
        <v>25</v>
      </c>
      <c r="O285" t="s">
        <v>54</v>
      </c>
      <c r="P285" t="s">
        <v>41</v>
      </c>
      <c r="Q285" s="2">
        <v>45229</v>
      </c>
      <c r="R285" s="13">
        <f t="shared" si="23"/>
        <v>300.00000000349246</v>
      </c>
      <c r="S285" s="13">
        <f t="shared" si="24"/>
        <v>-2478.1563126249985</v>
      </c>
      <c r="T285" s="2">
        <v>45229.208333333336</v>
      </c>
      <c r="U285" t="s">
        <v>64</v>
      </c>
      <c r="V285" t="s">
        <v>29</v>
      </c>
      <c r="W285" t="s">
        <v>47</v>
      </c>
      <c r="X285">
        <v>5</v>
      </c>
      <c r="Y285">
        <v>10</v>
      </c>
      <c r="Z285" t="s">
        <v>68</v>
      </c>
    </row>
    <row r="286" spans="1:26">
      <c r="A286" t="s">
        <v>343</v>
      </c>
      <c r="B286">
        <v>61</v>
      </c>
      <c r="C286" t="str">
        <f t="shared" si="20"/>
        <v>51-65</v>
      </c>
      <c r="D286" t="s">
        <v>62</v>
      </c>
      <c r="E286" s="2">
        <v>45033</v>
      </c>
      <c r="F286" s="2" t="str">
        <f t="shared" ca="1" si="21"/>
        <v>No</v>
      </c>
      <c r="G286" s="2" t="str">
        <f t="shared" si="22"/>
        <v>Apr-2023</v>
      </c>
      <c r="H286" s="2">
        <v>45034</v>
      </c>
      <c r="I286">
        <v>1</v>
      </c>
      <c r="J286" t="s">
        <v>57</v>
      </c>
      <c r="K286">
        <v>5</v>
      </c>
      <c r="L286" t="s">
        <v>35</v>
      </c>
      <c r="M286" s="9">
        <v>26329</v>
      </c>
      <c r="N286" t="s">
        <v>60</v>
      </c>
      <c r="O286" t="s">
        <v>26</v>
      </c>
      <c r="P286" t="s">
        <v>27</v>
      </c>
      <c r="Q286" s="2">
        <v>45033</v>
      </c>
      <c r="R286" s="13">
        <f t="shared" si="23"/>
        <v>1200.0000000034925</v>
      </c>
      <c r="S286" s="13">
        <f t="shared" si="24"/>
        <v>-2476.5931863725004</v>
      </c>
      <c r="T286" s="2">
        <v>45033.833333333336</v>
      </c>
      <c r="U286" t="s">
        <v>42</v>
      </c>
      <c r="V286" t="s">
        <v>29</v>
      </c>
      <c r="W286" t="s">
        <v>43</v>
      </c>
      <c r="X286">
        <v>4</v>
      </c>
      <c r="Y286">
        <v>12</v>
      </c>
      <c r="Z286" t="s">
        <v>48</v>
      </c>
    </row>
    <row r="287" spans="1:26">
      <c r="A287" t="s">
        <v>344</v>
      </c>
      <c r="B287">
        <v>41</v>
      </c>
      <c r="C287" t="str">
        <f t="shared" si="20"/>
        <v>36-50</v>
      </c>
      <c r="D287" t="s">
        <v>22</v>
      </c>
      <c r="E287" s="2">
        <v>45064</v>
      </c>
      <c r="F287" s="2" t="str">
        <f t="shared" ca="1" si="21"/>
        <v>No</v>
      </c>
      <c r="G287" s="2" t="str">
        <f t="shared" si="22"/>
        <v>May-2023</v>
      </c>
      <c r="H287" s="2">
        <v>45067</v>
      </c>
      <c r="I287">
        <v>3</v>
      </c>
      <c r="J287" t="s">
        <v>34</v>
      </c>
      <c r="K287">
        <v>3</v>
      </c>
      <c r="L287" t="s">
        <v>46</v>
      </c>
      <c r="M287" s="9">
        <v>43142</v>
      </c>
      <c r="N287" t="s">
        <v>53</v>
      </c>
      <c r="O287" t="s">
        <v>54</v>
      </c>
      <c r="P287" t="s">
        <v>27</v>
      </c>
      <c r="Q287" s="2">
        <v>45064</v>
      </c>
      <c r="R287" s="13">
        <f t="shared" si="23"/>
        <v>180</v>
      </c>
      <c r="S287" s="13">
        <f t="shared" si="24"/>
        <v>-2473.3466933865284</v>
      </c>
      <c r="T287" s="2">
        <v>45064.125</v>
      </c>
      <c r="U287" t="s">
        <v>42</v>
      </c>
      <c r="V287" t="s">
        <v>29</v>
      </c>
      <c r="W287" t="s">
        <v>30</v>
      </c>
      <c r="X287">
        <v>11</v>
      </c>
      <c r="Y287">
        <v>8</v>
      </c>
      <c r="Z287" t="s">
        <v>48</v>
      </c>
    </row>
    <row r="288" spans="1:26">
      <c r="A288" t="s">
        <v>345</v>
      </c>
      <c r="B288">
        <v>33</v>
      </c>
      <c r="C288" t="str">
        <f t="shared" si="20"/>
        <v>18-35</v>
      </c>
      <c r="D288" t="s">
        <v>52</v>
      </c>
      <c r="E288" s="2">
        <v>45197</v>
      </c>
      <c r="F288" s="2" t="str">
        <f t="shared" ca="1" si="21"/>
        <v>No</v>
      </c>
      <c r="G288" s="2" t="str">
        <f t="shared" si="22"/>
        <v>Sep-2023</v>
      </c>
      <c r="H288" s="2">
        <v>44995</v>
      </c>
      <c r="I288">
        <v>5</v>
      </c>
      <c r="J288" t="s">
        <v>40</v>
      </c>
      <c r="K288">
        <v>2</v>
      </c>
      <c r="L288" t="s">
        <v>71</v>
      </c>
      <c r="M288" s="9">
        <v>7651</v>
      </c>
      <c r="N288" t="s">
        <v>36</v>
      </c>
      <c r="O288" t="s">
        <v>26</v>
      </c>
      <c r="P288" t="s">
        <v>27</v>
      </c>
      <c r="Q288" s="2">
        <v>45197</v>
      </c>
      <c r="R288" s="13">
        <f t="shared" si="23"/>
        <v>2759.9999999965075</v>
      </c>
      <c r="S288" s="13">
        <f t="shared" si="24"/>
        <v>-2472.745490981712</v>
      </c>
      <c r="T288" s="2">
        <v>45198.916666666664</v>
      </c>
      <c r="U288" t="s">
        <v>42</v>
      </c>
      <c r="V288" t="s">
        <v>29</v>
      </c>
      <c r="W288" t="s">
        <v>43</v>
      </c>
      <c r="X288">
        <v>11</v>
      </c>
      <c r="Y288">
        <v>8</v>
      </c>
      <c r="Z288" t="s">
        <v>31</v>
      </c>
    </row>
    <row r="289" spans="1:26">
      <c r="A289" t="s">
        <v>346</v>
      </c>
      <c r="B289">
        <v>68</v>
      </c>
      <c r="C289" t="str">
        <f t="shared" si="20"/>
        <v>66+</v>
      </c>
      <c r="D289" t="s">
        <v>41</v>
      </c>
      <c r="E289" s="2">
        <v>45045</v>
      </c>
      <c r="F289" s="2" t="str">
        <f t="shared" ca="1" si="21"/>
        <v>No</v>
      </c>
      <c r="G289" s="2" t="str">
        <f t="shared" si="22"/>
        <v>Apr-2023</v>
      </c>
      <c r="H289" s="2">
        <v>45235</v>
      </c>
      <c r="I289">
        <v>12</v>
      </c>
      <c r="J289" t="s">
        <v>23</v>
      </c>
      <c r="K289">
        <v>2</v>
      </c>
      <c r="L289" t="s">
        <v>24</v>
      </c>
      <c r="M289" s="9">
        <v>15006</v>
      </c>
      <c r="N289" t="s">
        <v>60</v>
      </c>
      <c r="O289" t="s">
        <v>54</v>
      </c>
      <c r="P289" t="s">
        <v>41</v>
      </c>
      <c r="Q289" s="2">
        <v>45044</v>
      </c>
      <c r="R289" s="13">
        <f t="shared" si="23"/>
        <v>480.00000000349246</v>
      </c>
      <c r="S289" s="13">
        <f t="shared" si="24"/>
        <v>-2478.0360721440225</v>
      </c>
      <c r="T289" s="2">
        <v>45044.333333333336</v>
      </c>
      <c r="U289" t="s">
        <v>64</v>
      </c>
      <c r="V289" t="s">
        <v>29</v>
      </c>
      <c r="W289" t="s">
        <v>47</v>
      </c>
      <c r="X289">
        <v>6</v>
      </c>
      <c r="Y289">
        <v>12</v>
      </c>
      <c r="Z289" t="s">
        <v>48</v>
      </c>
    </row>
    <row r="290" spans="1:26">
      <c r="A290" t="s">
        <v>347</v>
      </c>
      <c r="B290">
        <v>33</v>
      </c>
      <c r="C290" t="str">
        <f t="shared" si="20"/>
        <v>18-35</v>
      </c>
      <c r="D290" t="s">
        <v>33</v>
      </c>
      <c r="E290" s="2">
        <v>45036</v>
      </c>
      <c r="F290" s="2" t="str">
        <f t="shared" ca="1" si="21"/>
        <v>No</v>
      </c>
      <c r="G290" s="2" t="str">
        <f t="shared" si="22"/>
        <v>Apr-2023</v>
      </c>
      <c r="H290" s="2">
        <v>44990</v>
      </c>
      <c r="I290">
        <v>13</v>
      </c>
      <c r="J290" t="s">
        <v>63</v>
      </c>
      <c r="K290">
        <v>5</v>
      </c>
      <c r="L290" t="s">
        <v>66</v>
      </c>
      <c r="M290" s="9">
        <v>47701</v>
      </c>
      <c r="N290" t="s">
        <v>67</v>
      </c>
      <c r="O290" t="s">
        <v>26</v>
      </c>
      <c r="P290" t="s">
        <v>27</v>
      </c>
      <c r="Q290" s="2">
        <v>45031</v>
      </c>
      <c r="R290" s="13">
        <f t="shared" si="23"/>
        <v>120.00000000349246</v>
      </c>
      <c r="S290" s="13">
        <f t="shared" si="24"/>
        <v>-2476.3527054105698</v>
      </c>
      <c r="T290" s="2">
        <v>45031.083333333336</v>
      </c>
      <c r="U290" t="s">
        <v>28</v>
      </c>
      <c r="V290" t="s">
        <v>29</v>
      </c>
      <c r="W290" t="s">
        <v>30</v>
      </c>
      <c r="X290">
        <v>5</v>
      </c>
      <c r="Y290">
        <v>12</v>
      </c>
      <c r="Z290" t="s">
        <v>48</v>
      </c>
    </row>
    <row r="291" spans="1:26">
      <c r="A291" t="s">
        <v>348</v>
      </c>
      <c r="B291">
        <v>14</v>
      </c>
      <c r="C291" t="str">
        <f t="shared" si="20"/>
        <v>0-17</v>
      </c>
      <c r="D291" t="s">
        <v>33</v>
      </c>
      <c r="E291" s="2">
        <v>45175</v>
      </c>
      <c r="F291" s="2" t="str">
        <f t="shared" ca="1" si="21"/>
        <v>No</v>
      </c>
      <c r="G291" s="2" t="str">
        <f t="shared" si="22"/>
        <v>Sep-2023</v>
      </c>
      <c r="H291" s="2">
        <v>45091</v>
      </c>
      <c r="I291">
        <v>5</v>
      </c>
      <c r="J291" t="s">
        <v>50</v>
      </c>
      <c r="K291">
        <v>3</v>
      </c>
      <c r="L291" t="s">
        <v>66</v>
      </c>
      <c r="M291" s="9">
        <v>40645</v>
      </c>
      <c r="N291" t="s">
        <v>67</v>
      </c>
      <c r="O291" t="s">
        <v>54</v>
      </c>
      <c r="P291" t="s">
        <v>41</v>
      </c>
      <c r="Q291" s="2">
        <v>45113</v>
      </c>
      <c r="R291" s="13">
        <f t="shared" si="23"/>
        <v>1319.9999999965075</v>
      </c>
      <c r="S291" s="13">
        <f t="shared" si="24"/>
        <v>-2473.2264529055738</v>
      </c>
      <c r="T291" s="2">
        <v>45113.916666666664</v>
      </c>
      <c r="U291" t="s">
        <v>42</v>
      </c>
      <c r="V291" t="s">
        <v>29</v>
      </c>
      <c r="W291" t="s">
        <v>30</v>
      </c>
      <c r="X291">
        <v>4</v>
      </c>
      <c r="Y291">
        <v>8</v>
      </c>
      <c r="Z291" t="s">
        <v>68</v>
      </c>
    </row>
    <row r="292" spans="1:26">
      <c r="A292" t="s">
        <v>349</v>
      </c>
      <c r="B292">
        <v>21</v>
      </c>
      <c r="C292" t="str">
        <f t="shared" si="20"/>
        <v>18-35</v>
      </c>
      <c r="D292" t="s">
        <v>52</v>
      </c>
      <c r="E292" s="2">
        <v>45087</v>
      </c>
      <c r="F292" s="2" t="str">
        <f t="shared" ca="1" si="21"/>
        <v>No</v>
      </c>
      <c r="G292" s="2" t="str">
        <f t="shared" si="22"/>
        <v>Jun-2023</v>
      </c>
      <c r="H292" s="2">
        <v>45220</v>
      </c>
      <c r="I292">
        <v>15</v>
      </c>
      <c r="J292" t="s">
        <v>57</v>
      </c>
      <c r="K292">
        <v>5</v>
      </c>
      <c r="L292" t="s">
        <v>71</v>
      </c>
      <c r="M292" s="9">
        <v>26966</v>
      </c>
      <c r="N292" t="s">
        <v>67</v>
      </c>
      <c r="O292" t="s">
        <v>26</v>
      </c>
      <c r="P292" t="s">
        <v>41</v>
      </c>
      <c r="Q292" s="2">
        <v>44995</v>
      </c>
      <c r="R292" s="13">
        <f t="shared" si="23"/>
        <v>45720</v>
      </c>
      <c r="S292" s="13">
        <f t="shared" si="24"/>
        <v>-2473.7074148294146</v>
      </c>
      <c r="T292" s="2">
        <v>45026.75</v>
      </c>
      <c r="U292" t="s">
        <v>28</v>
      </c>
      <c r="V292" t="s">
        <v>29</v>
      </c>
      <c r="W292" t="s">
        <v>30</v>
      </c>
      <c r="X292">
        <v>7</v>
      </c>
      <c r="Y292">
        <v>12</v>
      </c>
      <c r="Z292" t="s">
        <v>31</v>
      </c>
    </row>
    <row r="293" spans="1:26">
      <c r="A293" t="s">
        <v>350</v>
      </c>
      <c r="B293">
        <v>48</v>
      </c>
      <c r="C293" t="str">
        <f t="shared" si="20"/>
        <v>36-50</v>
      </c>
      <c r="D293" t="s">
        <v>41</v>
      </c>
      <c r="E293" s="2">
        <v>45215</v>
      </c>
      <c r="F293" s="2" t="str">
        <f t="shared" ca="1" si="21"/>
        <v>No</v>
      </c>
      <c r="G293" s="2" t="str">
        <f t="shared" si="22"/>
        <v>Oct-2023</v>
      </c>
      <c r="H293" s="2">
        <v>45221</v>
      </c>
      <c r="I293">
        <v>6</v>
      </c>
      <c r="J293" t="s">
        <v>63</v>
      </c>
      <c r="K293">
        <v>4</v>
      </c>
      <c r="L293" t="s">
        <v>24</v>
      </c>
      <c r="M293" s="9">
        <v>32846</v>
      </c>
      <c r="N293" t="s">
        <v>60</v>
      </c>
      <c r="O293" t="s">
        <v>54</v>
      </c>
      <c r="P293" t="s">
        <v>27</v>
      </c>
      <c r="Q293" s="2">
        <v>45270</v>
      </c>
      <c r="R293" s="13">
        <f t="shared" si="23"/>
        <v>419.99999999650754</v>
      </c>
      <c r="S293" s="13">
        <f t="shared" si="24"/>
        <v>-2561.2424849697018</v>
      </c>
      <c r="T293" s="2">
        <v>45270.291666666664</v>
      </c>
      <c r="U293" t="s">
        <v>37</v>
      </c>
      <c r="V293" t="s">
        <v>38</v>
      </c>
      <c r="W293" t="s">
        <v>43</v>
      </c>
      <c r="X293">
        <v>6</v>
      </c>
      <c r="Y293">
        <v>10</v>
      </c>
      <c r="Z293" t="s">
        <v>31</v>
      </c>
    </row>
    <row r="294" spans="1:26">
      <c r="A294" t="s">
        <v>351</v>
      </c>
      <c r="B294">
        <v>20</v>
      </c>
      <c r="C294" t="str">
        <f t="shared" si="20"/>
        <v>18-35</v>
      </c>
      <c r="D294" t="s">
        <v>52</v>
      </c>
      <c r="E294" s="2">
        <v>45024</v>
      </c>
      <c r="F294" s="2" t="str">
        <f t="shared" ca="1" si="21"/>
        <v>No</v>
      </c>
      <c r="G294" s="2" t="str">
        <f t="shared" si="22"/>
        <v>Apr-2023</v>
      </c>
      <c r="H294" s="2">
        <v>45207</v>
      </c>
      <c r="I294">
        <v>6</v>
      </c>
      <c r="J294" t="s">
        <v>23</v>
      </c>
      <c r="K294">
        <v>2</v>
      </c>
      <c r="L294" t="s">
        <v>35</v>
      </c>
      <c r="M294" s="9">
        <v>26774</v>
      </c>
      <c r="N294" t="s">
        <v>60</v>
      </c>
      <c r="O294" t="s">
        <v>26</v>
      </c>
      <c r="P294" t="s">
        <v>27</v>
      </c>
      <c r="Q294" s="2">
        <v>44934</v>
      </c>
      <c r="R294" s="13">
        <f t="shared" si="23"/>
        <v>45840.000000003492</v>
      </c>
      <c r="S294" s="13">
        <f t="shared" si="24"/>
        <v>-2561.4829659316119</v>
      </c>
      <c r="T294" s="2">
        <v>44965.833333333336</v>
      </c>
      <c r="U294" t="s">
        <v>28</v>
      </c>
      <c r="V294" t="s">
        <v>29</v>
      </c>
      <c r="W294" t="s">
        <v>30</v>
      </c>
      <c r="X294">
        <v>8</v>
      </c>
      <c r="Y294">
        <v>8</v>
      </c>
      <c r="Z294" t="s">
        <v>68</v>
      </c>
    </row>
    <row r="295" spans="1:26">
      <c r="A295" t="s">
        <v>352</v>
      </c>
      <c r="B295">
        <v>8</v>
      </c>
      <c r="C295" t="str">
        <f t="shared" si="20"/>
        <v>0-17</v>
      </c>
      <c r="D295" t="s">
        <v>22</v>
      </c>
      <c r="E295" s="2">
        <v>45278</v>
      </c>
      <c r="F295" s="2" t="str">
        <f t="shared" ca="1" si="21"/>
        <v>No</v>
      </c>
      <c r="G295" s="2" t="str">
        <f t="shared" si="22"/>
        <v>Dec-2023</v>
      </c>
      <c r="H295" s="2">
        <v>45279</v>
      </c>
      <c r="I295">
        <v>1</v>
      </c>
      <c r="J295" t="s">
        <v>23</v>
      </c>
      <c r="K295">
        <v>5</v>
      </c>
      <c r="L295" t="s">
        <v>35</v>
      </c>
      <c r="M295" s="9">
        <v>9083</v>
      </c>
      <c r="N295" t="s">
        <v>60</v>
      </c>
      <c r="O295" t="s">
        <v>54</v>
      </c>
      <c r="P295" t="s">
        <v>27</v>
      </c>
      <c r="Q295" s="2">
        <v>45277</v>
      </c>
      <c r="R295" s="13">
        <f t="shared" si="23"/>
        <v>660.00000000349246</v>
      </c>
      <c r="S295" s="13">
        <f t="shared" si="24"/>
        <v>-2651.3026052101691</v>
      </c>
      <c r="T295" s="2">
        <v>45277.458333333336</v>
      </c>
      <c r="U295" t="s">
        <v>28</v>
      </c>
      <c r="V295" t="s">
        <v>29</v>
      </c>
      <c r="W295" t="s">
        <v>30</v>
      </c>
      <c r="X295">
        <v>7</v>
      </c>
      <c r="Y295">
        <v>10</v>
      </c>
      <c r="Z295" t="s">
        <v>48</v>
      </c>
    </row>
    <row r="296" spans="1:26">
      <c r="A296" t="s">
        <v>353</v>
      </c>
      <c r="B296">
        <v>7</v>
      </c>
      <c r="C296" t="str">
        <f t="shared" si="20"/>
        <v>0-17</v>
      </c>
      <c r="D296" t="s">
        <v>62</v>
      </c>
      <c r="E296" s="2">
        <v>45135</v>
      </c>
      <c r="F296" s="2" t="str">
        <f t="shared" ca="1" si="21"/>
        <v>No</v>
      </c>
      <c r="G296" s="2" t="str">
        <f t="shared" si="22"/>
        <v>Jul-2023</v>
      </c>
      <c r="H296" s="2">
        <v>45138</v>
      </c>
      <c r="I296">
        <v>3</v>
      </c>
      <c r="J296" t="s">
        <v>34</v>
      </c>
      <c r="K296">
        <v>2</v>
      </c>
      <c r="L296" t="s">
        <v>46</v>
      </c>
      <c r="M296" s="9">
        <v>38513</v>
      </c>
      <c r="N296" t="s">
        <v>53</v>
      </c>
      <c r="O296" t="s">
        <v>54</v>
      </c>
      <c r="P296" t="s">
        <v>27</v>
      </c>
      <c r="Q296" s="2">
        <v>45131</v>
      </c>
      <c r="R296" s="13">
        <f t="shared" si="23"/>
        <v>2880</v>
      </c>
      <c r="S296" s="13">
        <f t="shared" si="24"/>
        <v>-2560.5210420839303</v>
      </c>
      <c r="T296" s="2">
        <v>45133</v>
      </c>
      <c r="U296" t="s">
        <v>42</v>
      </c>
      <c r="V296" t="s">
        <v>29</v>
      </c>
      <c r="W296" t="s">
        <v>30</v>
      </c>
      <c r="X296">
        <v>4</v>
      </c>
      <c r="Y296">
        <v>8</v>
      </c>
      <c r="Z296" t="s">
        <v>31</v>
      </c>
    </row>
    <row r="297" spans="1:26">
      <c r="A297" t="s">
        <v>354</v>
      </c>
      <c r="B297">
        <v>67</v>
      </c>
      <c r="C297" t="str">
        <f t="shared" si="20"/>
        <v>66+</v>
      </c>
      <c r="D297" t="s">
        <v>33</v>
      </c>
      <c r="E297" s="2">
        <v>45197</v>
      </c>
      <c r="F297" s="2" t="str">
        <f t="shared" ca="1" si="21"/>
        <v>No</v>
      </c>
      <c r="G297" s="2" t="str">
        <f t="shared" si="22"/>
        <v>Sep-2023</v>
      </c>
      <c r="H297" s="2">
        <v>45270</v>
      </c>
      <c r="I297">
        <v>14</v>
      </c>
      <c r="J297" t="s">
        <v>23</v>
      </c>
      <c r="K297">
        <v>3</v>
      </c>
      <c r="L297" t="s">
        <v>46</v>
      </c>
      <c r="M297" s="9">
        <v>13749</v>
      </c>
      <c r="N297" t="s">
        <v>53</v>
      </c>
      <c r="O297" t="s">
        <v>54</v>
      </c>
      <c r="P297" t="s">
        <v>27</v>
      </c>
      <c r="Q297" s="2">
        <v>45193</v>
      </c>
      <c r="R297" s="13">
        <f t="shared" si="23"/>
        <v>959.99999999650754</v>
      </c>
      <c r="S297" s="13">
        <f t="shared" si="24"/>
        <v>-2561.8436873745186</v>
      </c>
      <c r="T297" s="2">
        <v>45193.666666666664</v>
      </c>
      <c r="U297" t="s">
        <v>55</v>
      </c>
      <c r="V297" t="s">
        <v>29</v>
      </c>
      <c r="W297" t="s">
        <v>47</v>
      </c>
      <c r="X297">
        <v>7</v>
      </c>
      <c r="Y297">
        <v>10</v>
      </c>
      <c r="Z297" t="s">
        <v>48</v>
      </c>
    </row>
    <row r="298" spans="1:26">
      <c r="A298" t="s">
        <v>355</v>
      </c>
      <c r="B298">
        <v>17</v>
      </c>
      <c r="C298" t="str">
        <f t="shared" si="20"/>
        <v>0-17</v>
      </c>
      <c r="D298" t="s">
        <v>22</v>
      </c>
      <c r="E298" s="2">
        <v>45297</v>
      </c>
      <c r="F298" s="2" t="str">
        <f t="shared" ca="1" si="21"/>
        <v>No</v>
      </c>
      <c r="G298" s="2" t="str">
        <f t="shared" si="22"/>
        <v>Jan-2024</v>
      </c>
      <c r="H298" s="2">
        <v>45388</v>
      </c>
      <c r="I298">
        <v>3</v>
      </c>
      <c r="J298" t="s">
        <v>57</v>
      </c>
      <c r="K298">
        <v>1</v>
      </c>
      <c r="L298" t="s">
        <v>35</v>
      </c>
      <c r="M298" s="9">
        <v>35783</v>
      </c>
      <c r="N298" t="s">
        <v>67</v>
      </c>
      <c r="O298" t="s">
        <v>54</v>
      </c>
      <c r="P298" t="s">
        <v>27</v>
      </c>
      <c r="Q298" s="2">
        <v>45443</v>
      </c>
      <c r="R298" s="13">
        <f t="shared" si="23"/>
        <v>-209640.00000000349</v>
      </c>
      <c r="S298" s="13">
        <f t="shared" si="24"/>
        <v>-2558.8376753504563</v>
      </c>
      <c r="T298" s="2">
        <v>45297.416666666664</v>
      </c>
      <c r="U298" t="s">
        <v>55</v>
      </c>
      <c r="V298" t="s">
        <v>29</v>
      </c>
      <c r="W298" t="s">
        <v>43</v>
      </c>
      <c r="X298">
        <v>8</v>
      </c>
      <c r="Y298">
        <v>10</v>
      </c>
      <c r="Z298" t="s">
        <v>31</v>
      </c>
    </row>
    <row r="299" spans="1:26">
      <c r="A299" t="s">
        <v>356</v>
      </c>
      <c r="B299">
        <v>33</v>
      </c>
      <c r="C299" t="str">
        <f t="shared" si="20"/>
        <v>18-35</v>
      </c>
      <c r="D299" t="s">
        <v>62</v>
      </c>
      <c r="E299" s="2">
        <v>45427</v>
      </c>
      <c r="F299" s="2" t="str">
        <f t="shared" ca="1" si="21"/>
        <v>No</v>
      </c>
      <c r="G299" s="2" t="str">
        <f t="shared" si="22"/>
        <v>May-2024</v>
      </c>
      <c r="H299" s="2">
        <v>45437</v>
      </c>
      <c r="I299">
        <v>10</v>
      </c>
      <c r="J299" t="s">
        <v>63</v>
      </c>
      <c r="K299">
        <v>5</v>
      </c>
      <c r="L299" t="s">
        <v>66</v>
      </c>
      <c r="M299" s="9">
        <v>22325</v>
      </c>
      <c r="N299" t="s">
        <v>25</v>
      </c>
      <c r="O299" t="s">
        <v>54</v>
      </c>
      <c r="P299" t="s">
        <v>27</v>
      </c>
      <c r="Q299" s="2">
        <v>45425</v>
      </c>
      <c r="R299" s="13">
        <f t="shared" si="23"/>
        <v>720</v>
      </c>
      <c r="S299" s="13">
        <f t="shared" si="24"/>
        <v>-2138.1162324646707</v>
      </c>
      <c r="T299" s="2">
        <v>45425.5</v>
      </c>
      <c r="U299" t="s">
        <v>64</v>
      </c>
      <c r="V299" t="s">
        <v>29</v>
      </c>
      <c r="W299" t="s">
        <v>43</v>
      </c>
      <c r="X299">
        <v>11</v>
      </c>
      <c r="Y299">
        <v>12</v>
      </c>
      <c r="Z299" t="s">
        <v>31</v>
      </c>
    </row>
    <row r="300" spans="1:26">
      <c r="A300" t="s">
        <v>357</v>
      </c>
      <c r="B300">
        <v>48</v>
      </c>
      <c r="C300" t="str">
        <f t="shared" si="20"/>
        <v>36-50</v>
      </c>
      <c r="D300" t="s">
        <v>22</v>
      </c>
      <c r="E300" s="2">
        <v>45184</v>
      </c>
      <c r="F300" s="2" t="str">
        <f t="shared" ca="1" si="21"/>
        <v>No</v>
      </c>
      <c r="G300" s="2" t="str">
        <f t="shared" si="22"/>
        <v>Sep-2023</v>
      </c>
      <c r="H300" s="2">
        <v>45195</v>
      </c>
      <c r="I300">
        <v>11</v>
      </c>
      <c r="J300" t="s">
        <v>57</v>
      </c>
      <c r="K300">
        <v>5</v>
      </c>
      <c r="L300" t="s">
        <v>66</v>
      </c>
      <c r="M300" s="9">
        <v>23680</v>
      </c>
      <c r="N300" t="s">
        <v>67</v>
      </c>
      <c r="O300" t="s">
        <v>54</v>
      </c>
      <c r="P300" t="s">
        <v>41</v>
      </c>
      <c r="Q300" s="2">
        <v>45239</v>
      </c>
      <c r="R300" s="13">
        <f t="shared" si="23"/>
        <v>43920</v>
      </c>
      <c r="S300" s="13">
        <f t="shared" si="24"/>
        <v>-2135.7114228454252</v>
      </c>
      <c r="T300" s="2">
        <v>45269.5</v>
      </c>
      <c r="U300" t="s">
        <v>64</v>
      </c>
      <c r="V300" t="s">
        <v>29</v>
      </c>
      <c r="W300" t="s">
        <v>47</v>
      </c>
      <c r="X300">
        <v>7</v>
      </c>
      <c r="Y300">
        <v>8</v>
      </c>
      <c r="Z300" t="s">
        <v>31</v>
      </c>
    </row>
    <row r="301" spans="1:26">
      <c r="A301" t="s">
        <v>358</v>
      </c>
      <c r="B301">
        <v>76</v>
      </c>
      <c r="C301" t="str">
        <f t="shared" si="20"/>
        <v>66+</v>
      </c>
      <c r="D301" t="s">
        <v>41</v>
      </c>
      <c r="E301" s="2">
        <v>44979</v>
      </c>
      <c r="F301" s="2" t="str">
        <f t="shared" ca="1" si="21"/>
        <v>No</v>
      </c>
      <c r="G301" s="2" t="str">
        <f t="shared" si="22"/>
        <v>Feb-2023</v>
      </c>
      <c r="H301" s="2">
        <v>44929</v>
      </c>
      <c r="I301">
        <v>7</v>
      </c>
      <c r="J301" t="s">
        <v>40</v>
      </c>
      <c r="K301">
        <v>2</v>
      </c>
      <c r="L301" t="s">
        <v>46</v>
      </c>
      <c r="M301" s="9">
        <v>22323</v>
      </c>
      <c r="N301" t="s">
        <v>36</v>
      </c>
      <c r="O301" t="s">
        <v>26</v>
      </c>
      <c r="P301" t="s">
        <v>27</v>
      </c>
      <c r="Q301" s="2">
        <v>44977</v>
      </c>
      <c r="R301" s="13">
        <f t="shared" si="23"/>
        <v>660.00000000349246</v>
      </c>
      <c r="S301" s="13">
        <f t="shared" si="24"/>
        <v>-2981.9639278554455</v>
      </c>
      <c r="T301" s="2">
        <v>44977.458333333336</v>
      </c>
      <c r="U301" t="s">
        <v>55</v>
      </c>
      <c r="V301" t="s">
        <v>29</v>
      </c>
      <c r="W301" t="s">
        <v>30</v>
      </c>
      <c r="X301">
        <v>4</v>
      </c>
      <c r="Y301">
        <v>12</v>
      </c>
      <c r="Z301" t="s">
        <v>31</v>
      </c>
    </row>
    <row r="302" spans="1:26">
      <c r="A302" t="s">
        <v>359</v>
      </c>
      <c r="B302">
        <v>59</v>
      </c>
      <c r="C302" t="str">
        <f t="shared" si="20"/>
        <v>51-65</v>
      </c>
      <c r="D302" t="s">
        <v>33</v>
      </c>
      <c r="E302" s="2">
        <v>45050</v>
      </c>
      <c r="F302" s="2" t="str">
        <f t="shared" ca="1" si="21"/>
        <v>No</v>
      </c>
      <c r="G302" s="2" t="str">
        <f t="shared" si="22"/>
        <v>May-2023</v>
      </c>
      <c r="H302" s="2">
        <v>45111</v>
      </c>
      <c r="I302">
        <v>2</v>
      </c>
      <c r="J302" t="s">
        <v>40</v>
      </c>
      <c r="K302">
        <v>3</v>
      </c>
      <c r="L302" t="s">
        <v>71</v>
      </c>
      <c r="M302" s="9">
        <v>27684</v>
      </c>
      <c r="N302" t="s">
        <v>53</v>
      </c>
      <c r="O302" t="s">
        <v>54</v>
      </c>
      <c r="P302" t="s">
        <v>27</v>
      </c>
      <c r="Q302" s="2">
        <v>45020</v>
      </c>
      <c r="R302" s="13">
        <f t="shared" si="23"/>
        <v>1319.9999999965075</v>
      </c>
      <c r="S302" s="13">
        <f t="shared" si="24"/>
        <v>-2979.3186372742903</v>
      </c>
      <c r="T302" s="2">
        <v>45020.916666666664</v>
      </c>
      <c r="U302" t="s">
        <v>37</v>
      </c>
      <c r="V302" t="s">
        <v>29</v>
      </c>
      <c r="W302" t="s">
        <v>47</v>
      </c>
      <c r="X302">
        <v>11</v>
      </c>
      <c r="Y302">
        <v>12</v>
      </c>
      <c r="Z302" t="s">
        <v>48</v>
      </c>
    </row>
    <row r="303" spans="1:26">
      <c r="A303" t="s">
        <v>360</v>
      </c>
      <c r="B303">
        <v>86</v>
      </c>
      <c r="C303" t="str">
        <f t="shared" si="20"/>
        <v>66+</v>
      </c>
      <c r="D303" t="s">
        <v>52</v>
      </c>
      <c r="E303" s="2">
        <v>45538</v>
      </c>
      <c r="F303" s="2" t="str">
        <f t="shared" ca="1" si="21"/>
        <v>No</v>
      </c>
      <c r="G303" s="2" t="str">
        <f t="shared" si="22"/>
        <v>Sep-2024</v>
      </c>
      <c r="H303" s="2">
        <v>45629</v>
      </c>
      <c r="I303">
        <v>3</v>
      </c>
      <c r="J303" t="s">
        <v>50</v>
      </c>
      <c r="K303">
        <v>4</v>
      </c>
      <c r="L303" t="s">
        <v>35</v>
      </c>
      <c r="M303" s="9">
        <v>39493</v>
      </c>
      <c r="N303" t="s">
        <v>60</v>
      </c>
      <c r="O303" t="s">
        <v>26</v>
      </c>
      <c r="P303" t="s">
        <v>27</v>
      </c>
      <c r="Q303" s="2">
        <v>45446</v>
      </c>
      <c r="R303" s="13">
        <f t="shared" si="23"/>
        <v>43920</v>
      </c>
      <c r="S303" s="13">
        <f t="shared" si="24"/>
        <v>-2979.0781563123592</v>
      </c>
      <c r="T303" s="2">
        <v>45476.5</v>
      </c>
      <c r="U303" t="s">
        <v>42</v>
      </c>
      <c r="V303" t="s">
        <v>29</v>
      </c>
      <c r="W303" t="s">
        <v>47</v>
      </c>
      <c r="X303">
        <v>11</v>
      </c>
      <c r="Y303">
        <v>8</v>
      </c>
      <c r="Z303" t="s">
        <v>48</v>
      </c>
    </row>
    <row r="304" spans="1:26">
      <c r="A304" t="s">
        <v>361</v>
      </c>
      <c r="B304">
        <v>22</v>
      </c>
      <c r="C304" t="str">
        <f t="shared" si="20"/>
        <v>18-35</v>
      </c>
      <c r="D304" t="s">
        <v>52</v>
      </c>
      <c r="E304" s="2">
        <v>45240</v>
      </c>
      <c r="F304" s="2" t="str">
        <f t="shared" ca="1" si="21"/>
        <v>No</v>
      </c>
      <c r="G304" s="2" t="str">
        <f t="shared" si="22"/>
        <v>Nov-2023</v>
      </c>
      <c r="H304" s="2">
        <v>45222</v>
      </c>
      <c r="I304">
        <v>12</v>
      </c>
      <c r="J304" t="s">
        <v>50</v>
      </c>
      <c r="K304">
        <v>3</v>
      </c>
      <c r="L304" t="s">
        <v>46</v>
      </c>
      <c r="M304" s="9">
        <v>17213</v>
      </c>
      <c r="N304" t="s">
        <v>53</v>
      </c>
      <c r="O304" t="s">
        <v>54</v>
      </c>
      <c r="P304" t="s">
        <v>27</v>
      </c>
      <c r="Q304" s="2">
        <v>45117</v>
      </c>
      <c r="R304" s="13">
        <f t="shared" si="23"/>
        <v>44879.999999996508</v>
      </c>
      <c r="S304" s="13">
        <f t="shared" si="24"/>
        <v>-3066.6132264526468</v>
      </c>
      <c r="T304" s="2">
        <v>45148.166666666664</v>
      </c>
      <c r="U304" t="s">
        <v>42</v>
      </c>
      <c r="V304" t="s">
        <v>29</v>
      </c>
      <c r="W304" t="s">
        <v>30</v>
      </c>
      <c r="X304">
        <v>11</v>
      </c>
      <c r="Y304">
        <v>10</v>
      </c>
      <c r="Z304" t="s">
        <v>48</v>
      </c>
    </row>
    <row r="305" spans="1:26">
      <c r="A305" t="s">
        <v>362</v>
      </c>
      <c r="B305">
        <v>30</v>
      </c>
      <c r="C305" t="str">
        <f t="shared" si="20"/>
        <v>18-35</v>
      </c>
      <c r="D305" t="s">
        <v>62</v>
      </c>
      <c r="E305" s="2">
        <v>44972</v>
      </c>
      <c r="F305" s="2" t="str">
        <f t="shared" ca="1" si="21"/>
        <v>No</v>
      </c>
      <c r="G305" s="2" t="str">
        <f t="shared" si="22"/>
        <v>Feb-2023</v>
      </c>
      <c r="H305" s="2">
        <v>44983</v>
      </c>
      <c r="I305">
        <v>11</v>
      </c>
      <c r="J305" t="s">
        <v>40</v>
      </c>
      <c r="K305">
        <v>5</v>
      </c>
      <c r="L305" t="s">
        <v>46</v>
      </c>
      <c r="M305" s="9">
        <v>36831</v>
      </c>
      <c r="N305" t="s">
        <v>60</v>
      </c>
      <c r="O305" t="s">
        <v>54</v>
      </c>
      <c r="P305" t="s">
        <v>27</v>
      </c>
      <c r="Q305" s="2">
        <v>45201</v>
      </c>
      <c r="R305" s="13">
        <f t="shared" si="23"/>
        <v>45000</v>
      </c>
      <c r="S305" s="13">
        <f t="shared" si="24"/>
        <v>-3069.0180360718714</v>
      </c>
      <c r="T305" s="2">
        <v>45232.25</v>
      </c>
      <c r="U305" t="s">
        <v>37</v>
      </c>
      <c r="V305" t="s">
        <v>29</v>
      </c>
      <c r="W305" t="s">
        <v>30</v>
      </c>
      <c r="X305">
        <v>8</v>
      </c>
      <c r="Y305">
        <v>8</v>
      </c>
      <c r="Z305" t="s">
        <v>48</v>
      </c>
    </row>
    <row r="306" spans="1:26">
      <c r="A306" t="s">
        <v>363</v>
      </c>
      <c r="B306">
        <v>38</v>
      </c>
      <c r="C306" t="str">
        <f t="shared" si="20"/>
        <v>36-50</v>
      </c>
      <c r="D306" t="s">
        <v>45</v>
      </c>
      <c r="E306" s="2">
        <v>45017</v>
      </c>
      <c r="F306" s="2" t="str">
        <f t="shared" ca="1" si="21"/>
        <v>No</v>
      </c>
      <c r="G306" s="2" t="str">
        <f t="shared" si="22"/>
        <v>Apr-2023</v>
      </c>
      <c r="H306" s="2">
        <v>45047</v>
      </c>
      <c r="I306">
        <v>1</v>
      </c>
      <c r="J306" t="s">
        <v>23</v>
      </c>
      <c r="K306">
        <v>4</v>
      </c>
      <c r="L306" t="s">
        <v>35</v>
      </c>
      <c r="M306" s="9">
        <v>47296</v>
      </c>
      <c r="N306" t="s">
        <v>36</v>
      </c>
      <c r="O306" t="s">
        <v>26</v>
      </c>
      <c r="P306" t="s">
        <v>27</v>
      </c>
      <c r="Q306" s="2">
        <v>44958</v>
      </c>
      <c r="R306" s="13">
        <f t="shared" si="23"/>
        <v>900</v>
      </c>
      <c r="S306" s="13">
        <f t="shared" si="24"/>
        <v>-3068.1763527051448</v>
      </c>
      <c r="T306" s="2">
        <v>44958.625</v>
      </c>
      <c r="U306" t="s">
        <v>37</v>
      </c>
      <c r="V306" t="s">
        <v>29</v>
      </c>
      <c r="W306" t="s">
        <v>43</v>
      </c>
      <c r="X306">
        <v>8</v>
      </c>
      <c r="Y306">
        <v>8</v>
      </c>
      <c r="Z306" t="s">
        <v>68</v>
      </c>
    </row>
    <row r="307" spans="1:26">
      <c r="A307" t="s">
        <v>364</v>
      </c>
      <c r="B307">
        <v>51</v>
      </c>
      <c r="C307" t="str">
        <f t="shared" si="20"/>
        <v>51-65</v>
      </c>
      <c r="D307" t="s">
        <v>41</v>
      </c>
      <c r="E307" s="2">
        <v>45150</v>
      </c>
      <c r="F307" s="2" t="str">
        <f t="shared" ca="1" si="21"/>
        <v>No</v>
      </c>
      <c r="G307" s="2" t="str">
        <f t="shared" si="22"/>
        <v>Aug-2023</v>
      </c>
      <c r="H307" s="2">
        <v>45211</v>
      </c>
      <c r="I307">
        <v>2</v>
      </c>
      <c r="J307" t="s">
        <v>57</v>
      </c>
      <c r="K307">
        <v>3</v>
      </c>
      <c r="L307" t="s">
        <v>35</v>
      </c>
      <c r="M307" s="9">
        <v>32713</v>
      </c>
      <c r="N307" t="s">
        <v>36</v>
      </c>
      <c r="O307" t="s">
        <v>54</v>
      </c>
      <c r="P307" t="s">
        <v>27</v>
      </c>
      <c r="Q307" s="2">
        <v>45028</v>
      </c>
      <c r="R307" s="13">
        <f t="shared" si="23"/>
        <v>43320.000000003492</v>
      </c>
      <c r="S307" s="13">
        <f t="shared" si="24"/>
        <v>-3068.6573146289857</v>
      </c>
      <c r="T307" s="2">
        <v>45058.083333333336</v>
      </c>
      <c r="U307" t="s">
        <v>55</v>
      </c>
      <c r="V307" t="s">
        <v>29</v>
      </c>
      <c r="W307" t="s">
        <v>30</v>
      </c>
      <c r="X307">
        <v>11</v>
      </c>
      <c r="Y307">
        <v>8</v>
      </c>
      <c r="Z307" t="s">
        <v>31</v>
      </c>
    </row>
    <row r="308" spans="1:26">
      <c r="A308" t="s">
        <v>365</v>
      </c>
      <c r="B308">
        <v>54</v>
      </c>
      <c r="C308" t="str">
        <f t="shared" si="20"/>
        <v>51-65</v>
      </c>
      <c r="D308" t="s">
        <v>62</v>
      </c>
      <c r="E308" s="2">
        <v>45060</v>
      </c>
      <c r="F308" s="2" t="str">
        <f t="shared" ca="1" si="21"/>
        <v>No</v>
      </c>
      <c r="G308" s="2" t="str">
        <f t="shared" si="22"/>
        <v>May-2023</v>
      </c>
      <c r="H308" s="2">
        <v>45072</v>
      </c>
      <c r="I308">
        <v>12</v>
      </c>
      <c r="J308" t="s">
        <v>40</v>
      </c>
      <c r="K308">
        <v>1</v>
      </c>
      <c r="L308" t="s">
        <v>66</v>
      </c>
      <c r="M308" s="9">
        <v>46621</v>
      </c>
      <c r="N308" t="s">
        <v>53</v>
      </c>
      <c r="O308" t="s">
        <v>26</v>
      </c>
      <c r="P308" t="s">
        <v>41</v>
      </c>
      <c r="Q308" s="2">
        <v>45265</v>
      </c>
      <c r="R308" s="13">
        <f t="shared" si="23"/>
        <v>-295619.99999999651</v>
      </c>
      <c r="S308" s="13">
        <f t="shared" si="24"/>
        <v>-3066.0120240478304</v>
      </c>
      <c r="T308" s="2">
        <v>45059.708333333336</v>
      </c>
      <c r="U308" t="s">
        <v>64</v>
      </c>
      <c r="V308" t="s">
        <v>29</v>
      </c>
      <c r="W308" t="s">
        <v>47</v>
      </c>
      <c r="X308">
        <v>7</v>
      </c>
      <c r="Y308">
        <v>12</v>
      </c>
      <c r="Z308" t="s">
        <v>31</v>
      </c>
    </row>
    <row r="309" spans="1:26">
      <c r="A309" t="s">
        <v>366</v>
      </c>
      <c r="B309">
        <v>8</v>
      </c>
      <c r="C309" t="str">
        <f t="shared" si="20"/>
        <v>0-17</v>
      </c>
      <c r="D309" t="s">
        <v>45</v>
      </c>
      <c r="E309" s="2">
        <v>45195</v>
      </c>
      <c r="F309" s="2" t="str">
        <f t="shared" ca="1" si="21"/>
        <v>No</v>
      </c>
      <c r="G309" s="2" t="str">
        <f t="shared" si="22"/>
        <v>Sep-2023</v>
      </c>
      <c r="H309" s="2">
        <v>45056</v>
      </c>
      <c r="I309">
        <v>9</v>
      </c>
      <c r="J309" t="s">
        <v>50</v>
      </c>
      <c r="K309">
        <v>2</v>
      </c>
      <c r="L309" t="s">
        <v>71</v>
      </c>
      <c r="M309" s="9">
        <v>12187</v>
      </c>
      <c r="N309" t="s">
        <v>60</v>
      </c>
      <c r="O309" t="s">
        <v>54</v>
      </c>
      <c r="P309" t="s">
        <v>27</v>
      </c>
      <c r="Q309" s="2">
        <v>45191</v>
      </c>
      <c r="R309" s="13">
        <f t="shared" si="23"/>
        <v>720</v>
      </c>
      <c r="S309" s="13">
        <f t="shared" si="24"/>
        <v>-2472.2645290578503</v>
      </c>
      <c r="T309" s="2">
        <v>45191.5</v>
      </c>
      <c r="U309" t="s">
        <v>37</v>
      </c>
      <c r="V309" t="s">
        <v>29</v>
      </c>
      <c r="W309" t="s">
        <v>47</v>
      </c>
      <c r="X309">
        <v>8</v>
      </c>
      <c r="Y309">
        <v>8</v>
      </c>
      <c r="Z309" t="s">
        <v>31</v>
      </c>
    </row>
    <row r="310" spans="1:26">
      <c r="A310" t="s">
        <v>367</v>
      </c>
      <c r="B310">
        <v>27</v>
      </c>
      <c r="C310" t="str">
        <f t="shared" si="20"/>
        <v>18-35</v>
      </c>
      <c r="D310" t="s">
        <v>22</v>
      </c>
      <c r="E310" s="2">
        <v>45092</v>
      </c>
      <c r="F310" s="2" t="str">
        <f t="shared" ca="1" si="21"/>
        <v>No</v>
      </c>
      <c r="G310" s="2" t="str">
        <f t="shared" si="22"/>
        <v>Jun-2023</v>
      </c>
      <c r="H310" s="2">
        <v>45096</v>
      </c>
      <c r="I310">
        <v>4</v>
      </c>
      <c r="J310" t="s">
        <v>40</v>
      </c>
      <c r="K310">
        <v>3</v>
      </c>
      <c r="L310" t="s">
        <v>71</v>
      </c>
      <c r="M310" s="9">
        <v>37800</v>
      </c>
      <c r="N310" t="s">
        <v>36</v>
      </c>
      <c r="O310" t="s">
        <v>54</v>
      </c>
      <c r="P310" t="s">
        <v>27</v>
      </c>
      <c r="Q310" s="2">
        <v>45236</v>
      </c>
      <c r="R310" s="13">
        <f t="shared" si="23"/>
        <v>720</v>
      </c>
      <c r="S310" s="13">
        <f t="shared" si="24"/>
        <v>-2471.6633266530334</v>
      </c>
      <c r="T310" s="2">
        <v>45236.5</v>
      </c>
      <c r="U310" t="s">
        <v>64</v>
      </c>
      <c r="V310" t="s">
        <v>29</v>
      </c>
      <c r="W310" t="s">
        <v>30</v>
      </c>
      <c r="X310">
        <v>10</v>
      </c>
      <c r="Y310">
        <v>8</v>
      </c>
      <c r="Z310" t="s">
        <v>68</v>
      </c>
    </row>
    <row r="311" spans="1:26">
      <c r="A311" t="s">
        <v>368</v>
      </c>
      <c r="B311">
        <v>27</v>
      </c>
      <c r="C311" t="str">
        <f t="shared" si="20"/>
        <v>18-35</v>
      </c>
      <c r="D311" t="s">
        <v>41</v>
      </c>
      <c r="E311" s="2">
        <v>45379</v>
      </c>
      <c r="F311" s="2" t="str">
        <f t="shared" ca="1" si="21"/>
        <v>No</v>
      </c>
      <c r="G311" s="2" t="str">
        <f t="shared" si="22"/>
        <v>Mar-2024</v>
      </c>
      <c r="H311" s="2">
        <v>45386</v>
      </c>
      <c r="I311">
        <v>7</v>
      </c>
      <c r="J311" t="s">
        <v>23</v>
      </c>
      <c r="K311">
        <v>3</v>
      </c>
      <c r="L311" t="s">
        <v>35</v>
      </c>
      <c r="M311" s="9">
        <v>37583</v>
      </c>
      <c r="N311" t="s">
        <v>67</v>
      </c>
      <c r="O311" t="s">
        <v>26</v>
      </c>
      <c r="P311" t="s">
        <v>27</v>
      </c>
      <c r="Q311" s="2">
        <v>45375</v>
      </c>
      <c r="R311" s="13">
        <f t="shared" si="23"/>
        <v>2460.0000000034925</v>
      </c>
      <c r="S311" s="13">
        <f t="shared" si="24"/>
        <v>-2472.2645290578503</v>
      </c>
      <c r="T311" s="2">
        <v>45376.708333333336</v>
      </c>
      <c r="U311" t="s">
        <v>28</v>
      </c>
      <c r="V311" t="s">
        <v>29</v>
      </c>
      <c r="W311" t="s">
        <v>43</v>
      </c>
      <c r="X311">
        <v>7</v>
      </c>
      <c r="Y311">
        <v>8</v>
      </c>
      <c r="Z311" t="s">
        <v>48</v>
      </c>
    </row>
    <row r="312" spans="1:26">
      <c r="A312" t="s">
        <v>369</v>
      </c>
      <c r="B312">
        <v>21</v>
      </c>
      <c r="C312" t="str">
        <f t="shared" si="20"/>
        <v>18-35</v>
      </c>
      <c r="D312" t="s">
        <v>22</v>
      </c>
      <c r="E312" s="2">
        <v>45364</v>
      </c>
      <c r="F312" s="2" t="str">
        <f t="shared" ca="1" si="21"/>
        <v>No</v>
      </c>
      <c r="G312" s="2" t="str">
        <f t="shared" si="22"/>
        <v>Mar-2024</v>
      </c>
      <c r="H312" s="2">
        <v>45371</v>
      </c>
      <c r="I312">
        <v>7</v>
      </c>
      <c r="J312" t="s">
        <v>40</v>
      </c>
      <c r="K312">
        <v>1</v>
      </c>
      <c r="L312" t="s">
        <v>24</v>
      </c>
      <c r="M312" s="9">
        <v>19408</v>
      </c>
      <c r="N312" t="s">
        <v>67</v>
      </c>
      <c r="O312" t="s">
        <v>26</v>
      </c>
      <c r="P312" t="s">
        <v>41</v>
      </c>
      <c r="Q312" s="2">
        <v>45568</v>
      </c>
      <c r="R312" s="13">
        <f t="shared" si="23"/>
        <v>45779.999999996508</v>
      </c>
      <c r="S312" s="13">
        <f t="shared" si="24"/>
        <v>-2472.745490981712</v>
      </c>
      <c r="T312" s="2">
        <v>45599.791666666664</v>
      </c>
      <c r="U312" t="s">
        <v>42</v>
      </c>
      <c r="V312" t="s">
        <v>29</v>
      </c>
      <c r="W312" t="s">
        <v>47</v>
      </c>
      <c r="X312">
        <v>6</v>
      </c>
      <c r="Y312">
        <v>10</v>
      </c>
      <c r="Z312" t="s">
        <v>31</v>
      </c>
    </row>
    <row r="313" spans="1:26">
      <c r="A313" t="s">
        <v>370</v>
      </c>
      <c r="B313">
        <v>30</v>
      </c>
      <c r="C313" t="str">
        <f t="shared" si="20"/>
        <v>18-35</v>
      </c>
      <c r="D313" t="s">
        <v>33</v>
      </c>
      <c r="E313" s="2">
        <v>45200</v>
      </c>
      <c r="F313" s="2" t="str">
        <f t="shared" ca="1" si="21"/>
        <v>No</v>
      </c>
      <c r="G313" s="2" t="str">
        <f t="shared" si="22"/>
        <v>Oct-2023</v>
      </c>
      <c r="H313" s="2">
        <v>44944</v>
      </c>
      <c r="I313">
        <v>8</v>
      </c>
      <c r="J313" t="s">
        <v>57</v>
      </c>
      <c r="K313">
        <v>5</v>
      </c>
      <c r="L313" t="s">
        <v>46</v>
      </c>
      <c r="M313" s="9">
        <v>27369</v>
      </c>
      <c r="N313" t="s">
        <v>60</v>
      </c>
      <c r="O313" t="s">
        <v>54</v>
      </c>
      <c r="P313" t="s">
        <v>27</v>
      </c>
      <c r="Q313" s="2">
        <v>45047</v>
      </c>
      <c r="R313" s="13">
        <f t="shared" si="23"/>
        <v>44879.999999996508</v>
      </c>
      <c r="S313" s="13">
        <f t="shared" si="24"/>
        <v>-2472.625250500736</v>
      </c>
      <c r="T313" s="2">
        <v>45078.166666666664</v>
      </c>
      <c r="U313" t="s">
        <v>55</v>
      </c>
      <c r="V313" t="s">
        <v>29</v>
      </c>
      <c r="W313" t="s">
        <v>30</v>
      </c>
      <c r="X313">
        <v>8</v>
      </c>
      <c r="Y313">
        <v>10</v>
      </c>
      <c r="Z313" t="s">
        <v>48</v>
      </c>
    </row>
    <row r="314" spans="1:26">
      <c r="A314" t="s">
        <v>371</v>
      </c>
      <c r="B314">
        <v>28</v>
      </c>
      <c r="C314" t="str">
        <f t="shared" si="20"/>
        <v>18-35</v>
      </c>
      <c r="D314" t="s">
        <v>41</v>
      </c>
      <c r="E314" s="2">
        <v>45041</v>
      </c>
      <c r="F314" s="2" t="str">
        <f t="shared" ca="1" si="21"/>
        <v>No</v>
      </c>
      <c r="G314" s="2" t="str">
        <f t="shared" si="22"/>
        <v>Apr-2023</v>
      </c>
      <c r="H314" s="2">
        <v>44931</v>
      </c>
      <c r="I314">
        <v>6</v>
      </c>
      <c r="J314" t="s">
        <v>63</v>
      </c>
      <c r="K314">
        <v>2</v>
      </c>
      <c r="L314" t="s">
        <v>46</v>
      </c>
      <c r="M314" s="9">
        <v>8414</v>
      </c>
      <c r="N314" t="s">
        <v>53</v>
      </c>
      <c r="O314" t="s">
        <v>54</v>
      </c>
      <c r="P314" t="s">
        <v>27</v>
      </c>
      <c r="Q314" s="2">
        <v>45037</v>
      </c>
      <c r="R314" s="13">
        <f t="shared" si="23"/>
        <v>1560.0000000034925</v>
      </c>
      <c r="S314" s="13">
        <f t="shared" si="24"/>
        <v>-2556.9138276550307</v>
      </c>
      <c r="T314" s="2">
        <v>45038.083333333336</v>
      </c>
      <c r="U314" t="s">
        <v>42</v>
      </c>
      <c r="V314" t="s">
        <v>29</v>
      </c>
      <c r="W314" t="s">
        <v>43</v>
      </c>
      <c r="X314">
        <v>7</v>
      </c>
      <c r="Y314">
        <v>10</v>
      </c>
      <c r="Z314" t="s">
        <v>48</v>
      </c>
    </row>
    <row r="315" spans="1:26">
      <c r="A315" t="s">
        <v>372</v>
      </c>
      <c r="B315">
        <v>64</v>
      </c>
      <c r="C315" t="str">
        <f t="shared" si="20"/>
        <v>51-65</v>
      </c>
      <c r="D315" t="s">
        <v>45</v>
      </c>
      <c r="E315" s="2">
        <v>45004</v>
      </c>
      <c r="F315" s="2" t="str">
        <f t="shared" ca="1" si="21"/>
        <v>No</v>
      </c>
      <c r="G315" s="2" t="str">
        <f t="shared" si="22"/>
        <v>Mar-2023</v>
      </c>
      <c r="H315" s="2">
        <v>45007</v>
      </c>
      <c r="I315">
        <v>3</v>
      </c>
      <c r="J315" t="s">
        <v>23</v>
      </c>
      <c r="K315">
        <v>3</v>
      </c>
      <c r="L315" t="s">
        <v>35</v>
      </c>
      <c r="M315" s="9">
        <v>24510</v>
      </c>
      <c r="N315" t="s">
        <v>36</v>
      </c>
      <c r="O315" t="s">
        <v>26</v>
      </c>
      <c r="P315" t="s">
        <v>27</v>
      </c>
      <c r="Q315" s="2">
        <v>45002</v>
      </c>
      <c r="R315" s="13">
        <f t="shared" si="23"/>
        <v>120.00000000349246</v>
      </c>
      <c r="S315" s="13">
        <f t="shared" si="24"/>
        <v>-2559.0781563123451</v>
      </c>
      <c r="T315" s="2">
        <v>45002.083333333336</v>
      </c>
      <c r="U315" t="s">
        <v>55</v>
      </c>
      <c r="V315" t="s">
        <v>29</v>
      </c>
      <c r="W315" t="s">
        <v>43</v>
      </c>
      <c r="X315">
        <v>6</v>
      </c>
      <c r="Y315">
        <v>10</v>
      </c>
      <c r="Z315" t="s">
        <v>68</v>
      </c>
    </row>
    <row r="316" spans="1:26">
      <c r="A316" t="s">
        <v>373</v>
      </c>
      <c r="B316">
        <v>69</v>
      </c>
      <c r="C316" t="str">
        <f t="shared" si="20"/>
        <v>66+</v>
      </c>
      <c r="D316" t="s">
        <v>33</v>
      </c>
      <c r="E316" s="2">
        <v>44963</v>
      </c>
      <c r="F316" s="2" t="str">
        <f t="shared" ca="1" si="21"/>
        <v>No</v>
      </c>
      <c r="G316" s="2" t="str">
        <f t="shared" si="22"/>
        <v>Feb-2023</v>
      </c>
      <c r="H316" s="2">
        <v>45144</v>
      </c>
      <c r="I316">
        <v>6</v>
      </c>
      <c r="J316" t="s">
        <v>50</v>
      </c>
      <c r="K316">
        <v>4</v>
      </c>
      <c r="L316" t="s">
        <v>24</v>
      </c>
      <c r="M316" s="9">
        <v>17120</v>
      </c>
      <c r="N316" t="s">
        <v>53</v>
      </c>
      <c r="O316" t="s">
        <v>54</v>
      </c>
      <c r="P316" t="s">
        <v>27</v>
      </c>
      <c r="Q316" s="2">
        <v>45076</v>
      </c>
      <c r="R316" s="13">
        <f t="shared" si="23"/>
        <v>-207360</v>
      </c>
      <c r="S316" s="13">
        <f t="shared" si="24"/>
        <v>-2557.5150300598475</v>
      </c>
      <c r="T316" s="2">
        <v>44932</v>
      </c>
      <c r="U316" t="s">
        <v>28</v>
      </c>
      <c r="V316" t="s">
        <v>29</v>
      </c>
      <c r="W316" t="s">
        <v>47</v>
      </c>
      <c r="X316">
        <v>8</v>
      </c>
      <c r="Y316">
        <v>12</v>
      </c>
      <c r="Z316" t="s">
        <v>68</v>
      </c>
    </row>
    <row r="317" spans="1:26">
      <c r="A317" t="s">
        <v>374</v>
      </c>
      <c r="B317">
        <v>61</v>
      </c>
      <c r="C317" t="str">
        <f t="shared" si="20"/>
        <v>51-65</v>
      </c>
      <c r="D317" t="s">
        <v>52</v>
      </c>
      <c r="E317" s="2">
        <v>45079</v>
      </c>
      <c r="F317" s="2" t="str">
        <f t="shared" ca="1" si="21"/>
        <v>No</v>
      </c>
      <c r="G317" s="2" t="str">
        <f t="shared" si="22"/>
        <v>Jun-2023</v>
      </c>
      <c r="H317" s="2">
        <v>45232</v>
      </c>
      <c r="I317">
        <v>5</v>
      </c>
      <c r="J317" t="s">
        <v>57</v>
      </c>
      <c r="K317">
        <v>3</v>
      </c>
      <c r="L317" t="s">
        <v>66</v>
      </c>
      <c r="M317" s="9">
        <v>39311</v>
      </c>
      <c r="N317" t="s">
        <v>67</v>
      </c>
      <c r="O317" t="s">
        <v>26</v>
      </c>
      <c r="P317" t="s">
        <v>27</v>
      </c>
      <c r="Q317" s="2">
        <v>45079</v>
      </c>
      <c r="R317" s="13">
        <f t="shared" si="23"/>
        <v>44159.999999996508</v>
      </c>
      <c r="S317" s="13">
        <f t="shared" si="24"/>
        <v>-2384.3687374746769</v>
      </c>
      <c r="T317" s="2">
        <v>45109.666666666664</v>
      </c>
      <c r="U317" t="s">
        <v>42</v>
      </c>
      <c r="V317" t="s">
        <v>29</v>
      </c>
      <c r="W317" t="s">
        <v>47</v>
      </c>
      <c r="X317">
        <v>6</v>
      </c>
      <c r="Y317">
        <v>12</v>
      </c>
      <c r="Z317" t="s">
        <v>48</v>
      </c>
    </row>
    <row r="318" spans="1:26">
      <c r="A318" t="s">
        <v>375</v>
      </c>
      <c r="B318">
        <v>48</v>
      </c>
      <c r="C318" t="str">
        <f t="shared" si="20"/>
        <v>36-50</v>
      </c>
      <c r="D318" t="s">
        <v>45</v>
      </c>
      <c r="E318" s="2">
        <v>45305</v>
      </c>
      <c r="F318" s="2" t="str">
        <f t="shared" ca="1" si="21"/>
        <v>No</v>
      </c>
      <c r="G318" s="2" t="str">
        <f t="shared" si="22"/>
        <v>Jan-2024</v>
      </c>
      <c r="H318" s="2">
        <v>45317</v>
      </c>
      <c r="I318">
        <v>12</v>
      </c>
      <c r="J318" t="s">
        <v>40</v>
      </c>
      <c r="K318">
        <v>2</v>
      </c>
      <c r="L318" t="s">
        <v>35</v>
      </c>
      <c r="M318" s="9">
        <v>38039</v>
      </c>
      <c r="N318" t="s">
        <v>36</v>
      </c>
      <c r="O318" t="s">
        <v>54</v>
      </c>
      <c r="P318" t="s">
        <v>27</v>
      </c>
      <c r="Q318" s="2">
        <v>45627</v>
      </c>
      <c r="R318" s="13">
        <f t="shared" si="23"/>
        <v>779.99999999650754</v>
      </c>
      <c r="S318" s="13">
        <f t="shared" si="24"/>
        <v>-2382.3246492983171</v>
      </c>
      <c r="T318" s="2">
        <v>45627.541666666664</v>
      </c>
      <c r="U318" t="s">
        <v>28</v>
      </c>
      <c r="V318" t="s">
        <v>29</v>
      </c>
      <c r="W318" t="s">
        <v>43</v>
      </c>
      <c r="X318">
        <v>9</v>
      </c>
      <c r="Y318">
        <v>8</v>
      </c>
      <c r="Z318" t="s">
        <v>31</v>
      </c>
    </row>
    <row r="319" spans="1:26">
      <c r="A319" t="s">
        <v>376</v>
      </c>
      <c r="B319">
        <v>19</v>
      </c>
      <c r="C319" t="str">
        <f t="shared" si="20"/>
        <v>18-35</v>
      </c>
      <c r="D319" t="s">
        <v>62</v>
      </c>
      <c r="E319" s="2">
        <v>44932</v>
      </c>
      <c r="F319" s="2" t="str">
        <f t="shared" ca="1" si="21"/>
        <v>No</v>
      </c>
      <c r="G319" s="2" t="str">
        <f t="shared" si="22"/>
        <v>Jan-2023</v>
      </c>
      <c r="H319" s="2">
        <v>45113</v>
      </c>
      <c r="I319">
        <v>6</v>
      </c>
      <c r="J319" t="s">
        <v>40</v>
      </c>
      <c r="K319">
        <v>3</v>
      </c>
      <c r="L319" t="s">
        <v>35</v>
      </c>
      <c r="M319" s="9">
        <v>10295</v>
      </c>
      <c r="N319" t="s">
        <v>53</v>
      </c>
      <c r="O319" t="s">
        <v>54</v>
      </c>
      <c r="P319" t="s">
        <v>27</v>
      </c>
      <c r="Q319" s="2">
        <v>45076</v>
      </c>
      <c r="R319" s="13">
        <f t="shared" si="23"/>
        <v>1740.0000000034925</v>
      </c>
      <c r="S319" s="13">
        <f t="shared" si="24"/>
        <v>-2383.7675350698605</v>
      </c>
      <c r="T319" s="2">
        <v>45077.208333333336</v>
      </c>
      <c r="U319" t="s">
        <v>55</v>
      </c>
      <c r="V319" t="s">
        <v>29</v>
      </c>
      <c r="W319" t="s">
        <v>43</v>
      </c>
      <c r="X319">
        <v>8</v>
      </c>
      <c r="Y319">
        <v>12</v>
      </c>
      <c r="Z319" t="s">
        <v>31</v>
      </c>
    </row>
    <row r="320" spans="1:26">
      <c r="A320" t="s">
        <v>377</v>
      </c>
      <c r="B320">
        <v>4</v>
      </c>
      <c r="C320" t="str">
        <f t="shared" si="20"/>
        <v>0-17</v>
      </c>
      <c r="D320" t="s">
        <v>52</v>
      </c>
      <c r="E320" s="2">
        <v>45367</v>
      </c>
      <c r="F320" s="2" t="str">
        <f t="shared" ca="1" si="21"/>
        <v>No</v>
      </c>
      <c r="G320" s="2" t="str">
        <f t="shared" si="22"/>
        <v>Mar-2024</v>
      </c>
      <c r="H320" s="2">
        <v>45380</v>
      </c>
      <c r="I320">
        <v>13</v>
      </c>
      <c r="J320" t="s">
        <v>63</v>
      </c>
      <c r="K320">
        <v>1</v>
      </c>
      <c r="L320" t="s">
        <v>46</v>
      </c>
      <c r="M320" s="9">
        <v>25460</v>
      </c>
      <c r="N320" t="s">
        <v>25</v>
      </c>
      <c r="O320" t="s">
        <v>26</v>
      </c>
      <c r="P320" t="s">
        <v>27</v>
      </c>
      <c r="Q320" s="2">
        <v>45599</v>
      </c>
      <c r="R320" s="13">
        <f t="shared" si="23"/>
        <v>44040.000000003492</v>
      </c>
      <c r="S320" s="13">
        <f t="shared" si="24"/>
        <v>-2386.8937875748775</v>
      </c>
      <c r="T320" s="2">
        <v>45629.583333333336</v>
      </c>
      <c r="U320" t="s">
        <v>37</v>
      </c>
      <c r="V320" t="s">
        <v>29</v>
      </c>
      <c r="W320" t="s">
        <v>43</v>
      </c>
      <c r="X320">
        <v>9</v>
      </c>
      <c r="Y320">
        <v>10</v>
      </c>
      <c r="Z320" t="s">
        <v>68</v>
      </c>
    </row>
    <row r="321" spans="1:26">
      <c r="A321" t="s">
        <v>378</v>
      </c>
      <c r="B321">
        <v>35</v>
      </c>
      <c r="C321" t="str">
        <f t="shared" si="20"/>
        <v>18-35</v>
      </c>
      <c r="D321" t="s">
        <v>52</v>
      </c>
      <c r="E321" s="2">
        <v>45235</v>
      </c>
      <c r="F321" s="2" t="str">
        <f t="shared" ca="1" si="21"/>
        <v>No</v>
      </c>
      <c r="G321" s="2" t="str">
        <f t="shared" si="22"/>
        <v>Nov-2023</v>
      </c>
      <c r="H321" s="2">
        <v>45067</v>
      </c>
      <c r="I321">
        <v>10</v>
      </c>
      <c r="J321" t="s">
        <v>50</v>
      </c>
      <c r="K321">
        <v>3</v>
      </c>
      <c r="L321" t="s">
        <v>35</v>
      </c>
      <c r="M321" s="9">
        <v>19963</v>
      </c>
      <c r="N321" t="s">
        <v>60</v>
      </c>
      <c r="O321" t="s">
        <v>54</v>
      </c>
      <c r="P321" t="s">
        <v>41</v>
      </c>
      <c r="Q321" s="2">
        <v>45235</v>
      </c>
      <c r="R321" s="13">
        <f t="shared" si="23"/>
        <v>43439.999999996508</v>
      </c>
      <c r="S321" s="13">
        <f t="shared" si="24"/>
        <v>-2475.0300601199815</v>
      </c>
      <c r="T321" s="2">
        <v>45265.166666666664</v>
      </c>
      <c r="U321" t="s">
        <v>42</v>
      </c>
      <c r="V321" t="s">
        <v>38</v>
      </c>
      <c r="W321" t="s">
        <v>30</v>
      </c>
      <c r="X321">
        <v>4</v>
      </c>
      <c r="Y321">
        <v>8</v>
      </c>
      <c r="Z321" t="s">
        <v>68</v>
      </c>
    </row>
    <row r="322" spans="1:26">
      <c r="A322" t="s">
        <v>379</v>
      </c>
      <c r="B322">
        <v>64</v>
      </c>
      <c r="C322" t="str">
        <f t="shared" si="20"/>
        <v>51-65</v>
      </c>
      <c r="D322" t="s">
        <v>62</v>
      </c>
      <c r="E322" s="2">
        <v>45262</v>
      </c>
      <c r="F322" s="2" t="str">
        <f t="shared" ca="1" si="21"/>
        <v>No</v>
      </c>
      <c r="G322" s="2" t="str">
        <f t="shared" si="22"/>
        <v>Dec-2023</v>
      </c>
      <c r="H322" s="2">
        <v>44979</v>
      </c>
      <c r="I322">
        <v>10</v>
      </c>
      <c r="J322" t="s">
        <v>50</v>
      </c>
      <c r="K322">
        <v>3</v>
      </c>
      <c r="L322" t="s">
        <v>35</v>
      </c>
      <c r="M322" s="9">
        <v>16580</v>
      </c>
      <c r="N322" t="s">
        <v>60</v>
      </c>
      <c r="O322" t="s">
        <v>54</v>
      </c>
      <c r="P322" t="s">
        <v>27</v>
      </c>
      <c r="Q322" s="2">
        <v>45171</v>
      </c>
      <c r="R322" s="13">
        <f t="shared" si="23"/>
        <v>43259.999999996508</v>
      </c>
      <c r="S322" s="13">
        <f t="shared" si="24"/>
        <v>-2560.1603206410236</v>
      </c>
      <c r="T322" s="2">
        <v>45201.041666666664</v>
      </c>
      <c r="U322" t="s">
        <v>28</v>
      </c>
      <c r="V322" t="s">
        <v>29</v>
      </c>
      <c r="W322" t="s">
        <v>47</v>
      </c>
      <c r="X322">
        <v>4</v>
      </c>
      <c r="Y322">
        <v>8</v>
      </c>
      <c r="Z322" t="s">
        <v>68</v>
      </c>
    </row>
    <row r="323" spans="1:26">
      <c r="A323" t="s">
        <v>380</v>
      </c>
      <c r="B323">
        <v>49</v>
      </c>
      <c r="C323" t="str">
        <f t="shared" ref="C323:C386" si="25">IF(B323&lt;18,"0-17",IF(B323&lt;=35,"18-35",IF(B323&lt;=50,"36-50",IF(B323&lt;=65,"51-65","66+"))))</f>
        <v>36-50</v>
      </c>
      <c r="D323" t="s">
        <v>41</v>
      </c>
      <c r="E323" s="2">
        <v>45271</v>
      </c>
      <c r="F323" s="2" t="str">
        <f t="shared" ref="F323:F386" ca="1" si="26">IF(E323&gt;=EDATE(TODAY(),-12),"Yes","No")</f>
        <v>No</v>
      </c>
      <c r="G323" s="2" t="str">
        <f t="shared" ref="G323:G386" si="27">TEXT(E323,"mmm-yyyy")</f>
        <v>Dec-2023</v>
      </c>
      <c r="H323" s="2">
        <v>45244</v>
      </c>
      <c r="I323">
        <v>2</v>
      </c>
      <c r="J323" t="s">
        <v>34</v>
      </c>
      <c r="K323">
        <v>4</v>
      </c>
      <c r="L323" t="s">
        <v>35</v>
      </c>
      <c r="M323" s="9">
        <v>27286</v>
      </c>
      <c r="N323" t="s">
        <v>25</v>
      </c>
      <c r="O323" t="s">
        <v>26</v>
      </c>
      <c r="P323" t="s">
        <v>27</v>
      </c>
      <c r="Q323" s="2">
        <v>45149</v>
      </c>
      <c r="R323" s="13">
        <f t="shared" ref="R323:R386" si="28">(T323-Q323)*1440</f>
        <v>59.99999999650754</v>
      </c>
      <c r="S323" s="13">
        <f t="shared" ref="S323:S386" si="29">AVERAGE(R323:R821)</f>
        <v>-2646.4929859716781</v>
      </c>
      <c r="T323" s="2">
        <v>45149.041666666664</v>
      </c>
      <c r="U323" t="s">
        <v>42</v>
      </c>
      <c r="V323" t="s">
        <v>38</v>
      </c>
      <c r="W323" t="s">
        <v>43</v>
      </c>
      <c r="X323">
        <v>7</v>
      </c>
      <c r="Y323">
        <v>10</v>
      </c>
      <c r="Z323" t="s">
        <v>68</v>
      </c>
    </row>
    <row r="324" spans="1:26">
      <c r="A324" t="s">
        <v>381</v>
      </c>
      <c r="B324">
        <v>17</v>
      </c>
      <c r="C324" t="str">
        <f t="shared" si="25"/>
        <v>0-17</v>
      </c>
      <c r="D324" t="s">
        <v>52</v>
      </c>
      <c r="E324" s="2">
        <v>45536</v>
      </c>
      <c r="F324" s="2" t="str">
        <f t="shared" ca="1" si="26"/>
        <v>No</v>
      </c>
      <c r="G324" s="2" t="str">
        <f t="shared" si="27"/>
        <v>Sep-2024</v>
      </c>
      <c r="H324" s="2">
        <v>45315</v>
      </c>
      <c r="I324">
        <v>15</v>
      </c>
      <c r="J324" t="s">
        <v>50</v>
      </c>
      <c r="K324">
        <v>1</v>
      </c>
      <c r="L324" t="s">
        <v>46</v>
      </c>
      <c r="M324" s="9">
        <v>32328</v>
      </c>
      <c r="N324" t="s">
        <v>67</v>
      </c>
      <c r="O324" t="s">
        <v>54</v>
      </c>
      <c r="P324" t="s">
        <v>27</v>
      </c>
      <c r="Q324" s="2">
        <v>45474</v>
      </c>
      <c r="R324" s="13">
        <f t="shared" si="28"/>
        <v>45959.999999996508</v>
      </c>
      <c r="S324" s="13">
        <f t="shared" si="29"/>
        <v>-2559.1983967933211</v>
      </c>
      <c r="T324" s="2">
        <v>45505.916666666664</v>
      </c>
      <c r="U324" t="s">
        <v>42</v>
      </c>
      <c r="V324" t="s">
        <v>29</v>
      </c>
      <c r="W324" t="s">
        <v>47</v>
      </c>
      <c r="X324">
        <v>5</v>
      </c>
      <c r="Y324">
        <v>10</v>
      </c>
      <c r="Z324" t="s">
        <v>68</v>
      </c>
    </row>
    <row r="325" spans="1:26">
      <c r="A325" t="s">
        <v>382</v>
      </c>
      <c r="B325">
        <v>44</v>
      </c>
      <c r="C325" t="str">
        <f t="shared" si="25"/>
        <v>36-50</v>
      </c>
      <c r="D325" t="s">
        <v>45</v>
      </c>
      <c r="E325" s="2">
        <v>45201</v>
      </c>
      <c r="F325" s="2" t="str">
        <f t="shared" ca="1" si="26"/>
        <v>No</v>
      </c>
      <c r="G325" s="2" t="str">
        <f t="shared" si="27"/>
        <v>Oct-2023</v>
      </c>
      <c r="H325" s="2">
        <v>45232</v>
      </c>
      <c r="I325">
        <v>1</v>
      </c>
      <c r="J325" t="s">
        <v>63</v>
      </c>
      <c r="K325">
        <v>1</v>
      </c>
      <c r="L325" t="s">
        <v>66</v>
      </c>
      <c r="M325" s="9">
        <v>24093</v>
      </c>
      <c r="N325" t="s">
        <v>36</v>
      </c>
      <c r="O325" t="s">
        <v>54</v>
      </c>
      <c r="P325" t="s">
        <v>41</v>
      </c>
      <c r="Q325" s="2">
        <v>45048</v>
      </c>
      <c r="R325" s="13">
        <f t="shared" si="28"/>
        <v>840.00000000349246</v>
      </c>
      <c r="S325" s="13">
        <f t="shared" si="29"/>
        <v>-2648.4168336670618</v>
      </c>
      <c r="T325" s="2">
        <v>45048.583333333336</v>
      </c>
      <c r="U325" t="s">
        <v>42</v>
      </c>
      <c r="V325" t="s">
        <v>29</v>
      </c>
      <c r="W325" t="s">
        <v>47</v>
      </c>
      <c r="X325">
        <v>9</v>
      </c>
      <c r="Y325">
        <v>10</v>
      </c>
      <c r="Z325" t="s">
        <v>68</v>
      </c>
    </row>
    <row r="326" spans="1:26">
      <c r="A326" t="s">
        <v>383</v>
      </c>
      <c r="B326">
        <v>30</v>
      </c>
      <c r="C326" t="str">
        <f t="shared" si="25"/>
        <v>18-35</v>
      </c>
      <c r="D326" t="s">
        <v>33</v>
      </c>
      <c r="E326" s="2">
        <v>45323</v>
      </c>
      <c r="F326" s="2" t="str">
        <f t="shared" ca="1" si="26"/>
        <v>No</v>
      </c>
      <c r="G326" s="2" t="str">
        <f t="shared" si="27"/>
        <v>Feb-2024</v>
      </c>
      <c r="H326" s="2">
        <v>45413</v>
      </c>
      <c r="I326">
        <v>3</v>
      </c>
      <c r="J326" t="s">
        <v>34</v>
      </c>
      <c r="K326">
        <v>3</v>
      </c>
      <c r="L326" t="s">
        <v>66</v>
      </c>
      <c r="M326" s="9">
        <v>26605</v>
      </c>
      <c r="N326" t="s">
        <v>60</v>
      </c>
      <c r="O326" t="s">
        <v>54</v>
      </c>
      <c r="P326" t="s">
        <v>27</v>
      </c>
      <c r="Q326" s="2">
        <v>45288</v>
      </c>
      <c r="R326" s="13">
        <f t="shared" si="28"/>
        <v>840.00000000349246</v>
      </c>
      <c r="S326" s="13">
        <f t="shared" si="29"/>
        <v>-2563.4068136269957</v>
      </c>
      <c r="T326" s="2">
        <v>45288.583333333336</v>
      </c>
      <c r="U326" t="s">
        <v>64</v>
      </c>
      <c r="V326" t="s">
        <v>38</v>
      </c>
      <c r="W326" t="s">
        <v>47</v>
      </c>
      <c r="X326">
        <v>9</v>
      </c>
      <c r="Y326">
        <v>12</v>
      </c>
      <c r="Z326" t="s">
        <v>68</v>
      </c>
    </row>
    <row r="327" spans="1:26">
      <c r="A327" t="s">
        <v>384</v>
      </c>
      <c r="B327">
        <v>46</v>
      </c>
      <c r="C327" t="str">
        <f t="shared" si="25"/>
        <v>36-50</v>
      </c>
      <c r="D327" t="s">
        <v>52</v>
      </c>
      <c r="E327" s="2">
        <v>45024</v>
      </c>
      <c r="F327" s="2" t="str">
        <f t="shared" ca="1" si="26"/>
        <v>No</v>
      </c>
      <c r="G327" s="2" t="str">
        <f t="shared" si="27"/>
        <v>Apr-2023</v>
      </c>
      <c r="H327" s="2">
        <v>45115</v>
      </c>
      <c r="I327">
        <v>3</v>
      </c>
      <c r="J327" t="s">
        <v>34</v>
      </c>
      <c r="K327">
        <v>4</v>
      </c>
      <c r="L327" t="s">
        <v>35</v>
      </c>
      <c r="M327" s="9">
        <v>49813</v>
      </c>
      <c r="N327" t="s">
        <v>25</v>
      </c>
      <c r="O327" t="s">
        <v>54</v>
      </c>
      <c r="P327" t="s">
        <v>41</v>
      </c>
      <c r="Q327" s="2">
        <v>45137</v>
      </c>
      <c r="R327" s="13">
        <f t="shared" si="28"/>
        <v>1080</v>
      </c>
      <c r="S327" s="13">
        <f t="shared" si="29"/>
        <v>-2563.8877755508574</v>
      </c>
      <c r="T327" s="2">
        <v>45137.75</v>
      </c>
      <c r="U327" t="s">
        <v>28</v>
      </c>
      <c r="V327" t="s">
        <v>29</v>
      </c>
      <c r="W327" t="s">
        <v>43</v>
      </c>
      <c r="X327">
        <v>4</v>
      </c>
      <c r="Y327">
        <v>8</v>
      </c>
      <c r="Z327" t="s">
        <v>31</v>
      </c>
    </row>
    <row r="328" spans="1:26">
      <c r="A328" t="s">
        <v>385</v>
      </c>
      <c r="B328">
        <v>6</v>
      </c>
      <c r="C328" t="str">
        <f t="shared" si="25"/>
        <v>0-17</v>
      </c>
      <c r="D328" t="s">
        <v>45</v>
      </c>
      <c r="E328" s="2">
        <v>45182</v>
      </c>
      <c r="F328" s="2" t="str">
        <f t="shared" ca="1" si="26"/>
        <v>No</v>
      </c>
      <c r="G328" s="2" t="str">
        <f t="shared" si="27"/>
        <v>Sep-2023</v>
      </c>
      <c r="H328" s="2">
        <v>45195</v>
      </c>
      <c r="I328">
        <v>13</v>
      </c>
      <c r="J328" t="s">
        <v>40</v>
      </c>
      <c r="K328">
        <v>3</v>
      </c>
      <c r="L328" t="s">
        <v>46</v>
      </c>
      <c r="M328" s="9">
        <v>47705</v>
      </c>
      <c r="N328" t="s">
        <v>25</v>
      </c>
      <c r="O328" t="s">
        <v>54</v>
      </c>
      <c r="P328" t="s">
        <v>41</v>
      </c>
      <c r="Q328" s="2">
        <v>45182</v>
      </c>
      <c r="R328" s="13">
        <f t="shared" si="28"/>
        <v>2759.9999999965075</v>
      </c>
      <c r="S328" s="13">
        <f t="shared" si="29"/>
        <v>-2564.6092184366289</v>
      </c>
      <c r="T328" s="2">
        <v>45183.916666666664</v>
      </c>
      <c r="U328" t="s">
        <v>28</v>
      </c>
      <c r="V328" t="s">
        <v>29</v>
      </c>
      <c r="W328" t="s">
        <v>30</v>
      </c>
      <c r="X328">
        <v>9</v>
      </c>
      <c r="Y328">
        <v>10</v>
      </c>
      <c r="Z328" t="s">
        <v>68</v>
      </c>
    </row>
    <row r="329" spans="1:26">
      <c r="A329" t="s">
        <v>386</v>
      </c>
      <c r="B329">
        <v>37</v>
      </c>
      <c r="C329" t="str">
        <f t="shared" si="25"/>
        <v>36-50</v>
      </c>
      <c r="D329" t="s">
        <v>22</v>
      </c>
      <c r="E329" s="2">
        <v>45032</v>
      </c>
      <c r="F329" s="2" t="str">
        <f t="shared" ca="1" si="26"/>
        <v>No</v>
      </c>
      <c r="G329" s="2" t="str">
        <f t="shared" si="27"/>
        <v>Apr-2023</v>
      </c>
      <c r="H329" s="2">
        <v>45042</v>
      </c>
      <c r="I329">
        <v>10</v>
      </c>
      <c r="J329" t="s">
        <v>40</v>
      </c>
      <c r="K329">
        <v>3</v>
      </c>
      <c r="L329" t="s">
        <v>66</v>
      </c>
      <c r="M329" s="9">
        <v>11722</v>
      </c>
      <c r="N329" t="s">
        <v>67</v>
      </c>
      <c r="O329" t="s">
        <v>54</v>
      </c>
      <c r="P329" t="s">
        <v>27</v>
      </c>
      <c r="Q329" s="2">
        <v>45264</v>
      </c>
      <c r="R329" s="13">
        <f t="shared" si="28"/>
        <v>300.00000000349246</v>
      </c>
      <c r="S329" s="13">
        <f t="shared" si="29"/>
        <v>-2569.7795591179847</v>
      </c>
      <c r="T329" s="2">
        <v>45264.208333333336</v>
      </c>
      <c r="U329" t="s">
        <v>42</v>
      </c>
      <c r="V329" t="s">
        <v>29</v>
      </c>
      <c r="W329" t="s">
        <v>43</v>
      </c>
      <c r="X329">
        <v>5</v>
      </c>
      <c r="Y329">
        <v>8</v>
      </c>
      <c r="Z329" t="s">
        <v>68</v>
      </c>
    </row>
    <row r="330" spans="1:26">
      <c r="A330" t="s">
        <v>387</v>
      </c>
      <c r="B330">
        <v>24</v>
      </c>
      <c r="C330" t="str">
        <f t="shared" si="25"/>
        <v>18-35</v>
      </c>
      <c r="D330" t="s">
        <v>45</v>
      </c>
      <c r="E330" s="2">
        <v>45289</v>
      </c>
      <c r="F330" s="2" t="str">
        <f t="shared" ca="1" si="26"/>
        <v>No</v>
      </c>
      <c r="G330" s="2" t="str">
        <f t="shared" si="27"/>
        <v>Dec-2023</v>
      </c>
      <c r="H330" s="2">
        <v>45290</v>
      </c>
      <c r="I330">
        <v>1</v>
      </c>
      <c r="J330" t="s">
        <v>50</v>
      </c>
      <c r="K330">
        <v>2</v>
      </c>
      <c r="L330" t="s">
        <v>66</v>
      </c>
      <c r="M330" s="9">
        <v>45969</v>
      </c>
      <c r="N330" t="s">
        <v>67</v>
      </c>
      <c r="O330" t="s">
        <v>54</v>
      </c>
      <c r="P330" t="s">
        <v>27</v>
      </c>
      <c r="Q330" s="2">
        <v>45286</v>
      </c>
      <c r="R330" s="13">
        <f t="shared" si="28"/>
        <v>2219.9999999965075</v>
      </c>
      <c r="S330" s="13">
        <f t="shared" si="29"/>
        <v>-2479.4789579155868</v>
      </c>
      <c r="T330" s="2">
        <v>45287.541666666664</v>
      </c>
      <c r="U330" t="s">
        <v>37</v>
      </c>
      <c r="V330" t="s">
        <v>29</v>
      </c>
      <c r="W330" t="s">
        <v>47</v>
      </c>
      <c r="X330">
        <v>11</v>
      </c>
      <c r="Y330">
        <v>8</v>
      </c>
      <c r="Z330" t="s">
        <v>31</v>
      </c>
    </row>
    <row r="331" spans="1:26">
      <c r="A331" t="s">
        <v>388</v>
      </c>
      <c r="B331">
        <v>46</v>
      </c>
      <c r="C331" t="str">
        <f t="shared" si="25"/>
        <v>36-50</v>
      </c>
      <c r="D331" t="s">
        <v>33</v>
      </c>
      <c r="E331" s="2">
        <v>45343</v>
      </c>
      <c r="F331" s="2" t="str">
        <f t="shared" ca="1" si="26"/>
        <v>No</v>
      </c>
      <c r="G331" s="2" t="str">
        <f t="shared" si="27"/>
        <v>Feb-2024</v>
      </c>
      <c r="H331" s="2">
        <v>45354</v>
      </c>
      <c r="I331">
        <v>11</v>
      </c>
      <c r="J331" t="s">
        <v>34</v>
      </c>
      <c r="K331">
        <v>2</v>
      </c>
      <c r="L331" t="s">
        <v>66</v>
      </c>
      <c r="M331" s="9">
        <v>41912</v>
      </c>
      <c r="N331" t="s">
        <v>53</v>
      </c>
      <c r="O331" t="s">
        <v>54</v>
      </c>
      <c r="P331" t="s">
        <v>27</v>
      </c>
      <c r="Q331" s="2">
        <v>45341</v>
      </c>
      <c r="R331" s="13">
        <f t="shared" si="28"/>
        <v>419.99999999650754</v>
      </c>
      <c r="S331" s="13">
        <f t="shared" si="29"/>
        <v>-2391.823647294344</v>
      </c>
      <c r="T331" s="2">
        <v>45341.291666666664</v>
      </c>
      <c r="U331" t="s">
        <v>42</v>
      </c>
      <c r="V331" t="s">
        <v>29</v>
      </c>
      <c r="W331" t="s">
        <v>43</v>
      </c>
      <c r="X331">
        <v>6</v>
      </c>
      <c r="Y331">
        <v>12</v>
      </c>
      <c r="Z331" t="s">
        <v>31</v>
      </c>
    </row>
    <row r="332" spans="1:26">
      <c r="A332" t="s">
        <v>389</v>
      </c>
      <c r="B332">
        <v>53</v>
      </c>
      <c r="C332" t="str">
        <f t="shared" si="25"/>
        <v>51-65</v>
      </c>
      <c r="D332" t="s">
        <v>45</v>
      </c>
      <c r="E332" s="2">
        <v>45144</v>
      </c>
      <c r="F332" s="2" t="str">
        <f t="shared" ca="1" si="26"/>
        <v>No</v>
      </c>
      <c r="G332" s="2" t="str">
        <f t="shared" si="27"/>
        <v>Aug-2023</v>
      </c>
      <c r="H332" s="2">
        <v>45205</v>
      </c>
      <c r="I332">
        <v>2</v>
      </c>
      <c r="J332" t="s">
        <v>40</v>
      </c>
      <c r="K332">
        <v>4</v>
      </c>
      <c r="L332" t="s">
        <v>46</v>
      </c>
      <c r="M332" s="9">
        <v>43374</v>
      </c>
      <c r="N332" t="s">
        <v>60</v>
      </c>
      <c r="O332" t="s">
        <v>26</v>
      </c>
      <c r="P332" t="s">
        <v>27</v>
      </c>
      <c r="Q332" s="2">
        <v>44991</v>
      </c>
      <c r="R332" s="13">
        <f t="shared" si="28"/>
        <v>45300.000000003492</v>
      </c>
      <c r="S332" s="13">
        <f t="shared" si="29"/>
        <v>-2386.8937875748984</v>
      </c>
      <c r="T332" s="2">
        <v>45022.458333333336</v>
      </c>
      <c r="U332" t="s">
        <v>64</v>
      </c>
      <c r="V332" t="s">
        <v>29</v>
      </c>
      <c r="W332" t="s">
        <v>43</v>
      </c>
      <c r="X332">
        <v>6</v>
      </c>
      <c r="Y332">
        <v>8</v>
      </c>
      <c r="Z332" t="s">
        <v>48</v>
      </c>
    </row>
    <row r="333" spans="1:26">
      <c r="A333" t="s">
        <v>390</v>
      </c>
      <c r="B333">
        <v>60</v>
      </c>
      <c r="C333" t="str">
        <f t="shared" si="25"/>
        <v>51-65</v>
      </c>
      <c r="D333" t="s">
        <v>62</v>
      </c>
      <c r="E333" s="2">
        <v>45169</v>
      </c>
      <c r="F333" s="2" t="str">
        <f t="shared" ca="1" si="26"/>
        <v>No</v>
      </c>
      <c r="G333" s="2" t="str">
        <f t="shared" si="27"/>
        <v>Aug-2023</v>
      </c>
      <c r="H333" s="2">
        <v>45055</v>
      </c>
      <c r="I333">
        <v>5</v>
      </c>
      <c r="J333" t="s">
        <v>63</v>
      </c>
      <c r="K333">
        <v>5</v>
      </c>
      <c r="L333" t="s">
        <v>46</v>
      </c>
      <c r="M333" s="9">
        <v>11766</v>
      </c>
      <c r="N333" t="s">
        <v>53</v>
      </c>
      <c r="O333" t="s">
        <v>54</v>
      </c>
      <c r="P333" t="s">
        <v>41</v>
      </c>
      <c r="Q333" s="2">
        <v>45165</v>
      </c>
      <c r="R333" s="13">
        <f t="shared" si="28"/>
        <v>720</v>
      </c>
      <c r="S333" s="13">
        <f t="shared" si="29"/>
        <v>-3240.2404809616787</v>
      </c>
      <c r="T333" s="2">
        <v>45165.5</v>
      </c>
      <c r="U333" t="s">
        <v>55</v>
      </c>
      <c r="V333" t="s">
        <v>29</v>
      </c>
      <c r="W333" t="s">
        <v>47</v>
      </c>
      <c r="X333">
        <v>5</v>
      </c>
      <c r="Y333">
        <v>10</v>
      </c>
      <c r="Z333" t="s">
        <v>68</v>
      </c>
    </row>
    <row r="334" spans="1:26">
      <c r="A334" t="s">
        <v>391</v>
      </c>
      <c r="B334">
        <v>63</v>
      </c>
      <c r="C334" t="str">
        <f t="shared" si="25"/>
        <v>51-65</v>
      </c>
      <c r="D334" t="s">
        <v>33</v>
      </c>
      <c r="E334" s="2">
        <v>45093</v>
      </c>
      <c r="F334" s="2" t="str">
        <f t="shared" ca="1" si="26"/>
        <v>No</v>
      </c>
      <c r="G334" s="2" t="str">
        <f t="shared" si="27"/>
        <v>Jun-2023</v>
      </c>
      <c r="H334" s="2">
        <v>45101</v>
      </c>
      <c r="I334">
        <v>8</v>
      </c>
      <c r="J334" t="s">
        <v>40</v>
      </c>
      <c r="K334">
        <v>2</v>
      </c>
      <c r="L334" t="s">
        <v>35</v>
      </c>
      <c r="M334" s="9">
        <v>20928</v>
      </c>
      <c r="N334" t="s">
        <v>25</v>
      </c>
      <c r="O334" t="s">
        <v>54</v>
      </c>
      <c r="P334" t="s">
        <v>27</v>
      </c>
      <c r="Q334" s="2">
        <v>45266</v>
      </c>
      <c r="R334" s="13">
        <f t="shared" si="28"/>
        <v>-253440</v>
      </c>
      <c r="S334" s="13">
        <f t="shared" si="29"/>
        <v>-3154.7494989977508</v>
      </c>
      <c r="T334" s="2">
        <v>45090</v>
      </c>
      <c r="U334" t="s">
        <v>64</v>
      </c>
      <c r="V334" t="s">
        <v>29</v>
      </c>
      <c r="W334" t="s">
        <v>47</v>
      </c>
      <c r="X334">
        <v>9</v>
      </c>
      <c r="Y334">
        <v>10</v>
      </c>
      <c r="Z334" t="s">
        <v>68</v>
      </c>
    </row>
    <row r="335" spans="1:26">
      <c r="A335" t="s">
        <v>392</v>
      </c>
      <c r="B335">
        <v>85</v>
      </c>
      <c r="C335" t="str">
        <f t="shared" si="25"/>
        <v>66+</v>
      </c>
      <c r="D335" t="s">
        <v>41</v>
      </c>
      <c r="E335" s="2">
        <v>44933</v>
      </c>
      <c r="F335" s="2" t="str">
        <f t="shared" ca="1" si="26"/>
        <v>No</v>
      </c>
      <c r="G335" s="2" t="str">
        <f t="shared" si="27"/>
        <v>Jan-2023</v>
      </c>
      <c r="H335" s="2">
        <v>45267</v>
      </c>
      <c r="I335">
        <v>11</v>
      </c>
      <c r="J335" t="s">
        <v>23</v>
      </c>
      <c r="K335">
        <v>5</v>
      </c>
      <c r="L335" t="s">
        <v>71</v>
      </c>
      <c r="M335" s="9">
        <v>26274</v>
      </c>
      <c r="N335" t="s">
        <v>36</v>
      </c>
      <c r="O335" t="s">
        <v>26</v>
      </c>
      <c r="P335" t="s">
        <v>27</v>
      </c>
      <c r="Q335" s="2">
        <v>45107</v>
      </c>
      <c r="R335" s="13">
        <f t="shared" si="28"/>
        <v>1260</v>
      </c>
      <c r="S335" s="13">
        <f t="shared" si="29"/>
        <v>-2645.0501002001561</v>
      </c>
      <c r="T335" s="2">
        <v>45107.875</v>
      </c>
      <c r="U335" t="s">
        <v>37</v>
      </c>
      <c r="V335" t="s">
        <v>29</v>
      </c>
      <c r="W335" t="s">
        <v>43</v>
      </c>
      <c r="X335">
        <v>9</v>
      </c>
      <c r="Y335">
        <v>8</v>
      </c>
      <c r="Z335" t="s">
        <v>68</v>
      </c>
    </row>
    <row r="336" spans="1:26">
      <c r="A336" t="s">
        <v>393</v>
      </c>
      <c r="B336">
        <v>32</v>
      </c>
      <c r="C336" t="str">
        <f t="shared" si="25"/>
        <v>18-35</v>
      </c>
      <c r="D336" t="s">
        <v>22</v>
      </c>
      <c r="E336" s="2">
        <v>45349</v>
      </c>
      <c r="F336" s="2" t="str">
        <f t="shared" ca="1" si="26"/>
        <v>No</v>
      </c>
      <c r="G336" s="2" t="str">
        <f t="shared" si="27"/>
        <v>Feb-2024</v>
      </c>
      <c r="H336" s="2">
        <v>45415</v>
      </c>
      <c r="I336">
        <v>7</v>
      </c>
      <c r="J336" t="s">
        <v>23</v>
      </c>
      <c r="K336">
        <v>1</v>
      </c>
      <c r="L336" t="s">
        <v>66</v>
      </c>
      <c r="M336" s="9">
        <v>39416</v>
      </c>
      <c r="N336" t="s">
        <v>36</v>
      </c>
      <c r="O336" t="s">
        <v>54</v>
      </c>
      <c r="P336" t="s">
        <v>41</v>
      </c>
      <c r="Q336" s="2">
        <v>45344</v>
      </c>
      <c r="R336" s="13">
        <f t="shared" si="28"/>
        <v>779.99999999650754</v>
      </c>
      <c r="S336" s="13">
        <f t="shared" si="29"/>
        <v>-2645.0501002001561</v>
      </c>
      <c r="T336" s="2">
        <v>45344.541666666664</v>
      </c>
      <c r="U336" t="s">
        <v>42</v>
      </c>
      <c r="V336" t="s">
        <v>29</v>
      </c>
      <c r="W336" t="s">
        <v>43</v>
      </c>
      <c r="X336">
        <v>9</v>
      </c>
      <c r="Y336">
        <v>8</v>
      </c>
      <c r="Z336" t="s">
        <v>68</v>
      </c>
    </row>
    <row r="337" spans="1:26">
      <c r="A337" t="s">
        <v>394</v>
      </c>
      <c r="B337">
        <v>87</v>
      </c>
      <c r="C337" t="str">
        <f t="shared" si="25"/>
        <v>66+</v>
      </c>
      <c r="D337" t="s">
        <v>62</v>
      </c>
      <c r="E337" s="2">
        <v>44952</v>
      </c>
      <c r="F337" s="2" t="str">
        <f t="shared" ca="1" si="26"/>
        <v>No</v>
      </c>
      <c r="G337" s="2" t="str">
        <f t="shared" si="27"/>
        <v>Jan-2023</v>
      </c>
      <c r="H337" s="2">
        <v>44987</v>
      </c>
      <c r="I337">
        <v>8</v>
      </c>
      <c r="J337" t="s">
        <v>40</v>
      </c>
      <c r="K337">
        <v>2</v>
      </c>
      <c r="L337" t="s">
        <v>71</v>
      </c>
      <c r="M337" s="9">
        <v>25612</v>
      </c>
      <c r="N337" t="s">
        <v>67</v>
      </c>
      <c r="O337" t="s">
        <v>26</v>
      </c>
      <c r="P337" t="s">
        <v>27</v>
      </c>
      <c r="Q337" s="2">
        <v>44952</v>
      </c>
      <c r="R337" s="13">
        <f t="shared" si="28"/>
        <v>1800</v>
      </c>
      <c r="S337" s="13">
        <f t="shared" si="29"/>
        <v>-2644.6893787572699</v>
      </c>
      <c r="T337" s="2">
        <v>44953.25</v>
      </c>
      <c r="U337" t="s">
        <v>28</v>
      </c>
      <c r="V337" t="s">
        <v>29</v>
      </c>
      <c r="W337" t="s">
        <v>43</v>
      </c>
      <c r="X337">
        <v>10</v>
      </c>
      <c r="Y337">
        <v>12</v>
      </c>
      <c r="Z337" t="s">
        <v>48</v>
      </c>
    </row>
    <row r="338" spans="1:26">
      <c r="A338" t="s">
        <v>395</v>
      </c>
      <c r="B338">
        <v>33</v>
      </c>
      <c r="C338" t="str">
        <f t="shared" si="25"/>
        <v>18-35</v>
      </c>
      <c r="D338" t="s">
        <v>41</v>
      </c>
      <c r="E338" s="2">
        <v>44992</v>
      </c>
      <c r="F338" s="2" t="str">
        <f t="shared" ca="1" si="26"/>
        <v>No</v>
      </c>
      <c r="G338" s="2" t="str">
        <f t="shared" si="27"/>
        <v>Mar-2023</v>
      </c>
      <c r="H338" s="2">
        <v>45120</v>
      </c>
      <c r="I338">
        <v>10</v>
      </c>
      <c r="J338" t="s">
        <v>34</v>
      </c>
      <c r="K338">
        <v>2</v>
      </c>
      <c r="L338" t="s">
        <v>46</v>
      </c>
      <c r="M338" s="9">
        <v>39898</v>
      </c>
      <c r="N338" t="s">
        <v>36</v>
      </c>
      <c r="O338" t="s">
        <v>54</v>
      </c>
      <c r="P338" t="s">
        <v>27</v>
      </c>
      <c r="Q338" s="2">
        <v>45106</v>
      </c>
      <c r="R338" s="13">
        <f t="shared" si="28"/>
        <v>480.00000000349246</v>
      </c>
      <c r="S338" s="13">
        <f t="shared" si="29"/>
        <v>-2645.0501002001561</v>
      </c>
      <c r="T338" s="2">
        <v>45106.333333333336</v>
      </c>
      <c r="U338" t="s">
        <v>42</v>
      </c>
      <c r="V338" t="s">
        <v>29</v>
      </c>
      <c r="W338" t="s">
        <v>43</v>
      </c>
      <c r="X338">
        <v>7</v>
      </c>
      <c r="Y338">
        <v>10</v>
      </c>
      <c r="Z338" t="s">
        <v>31</v>
      </c>
    </row>
    <row r="339" spans="1:26">
      <c r="A339" t="s">
        <v>396</v>
      </c>
      <c r="B339">
        <v>67</v>
      </c>
      <c r="C339" t="str">
        <f t="shared" si="25"/>
        <v>66+</v>
      </c>
      <c r="D339" t="s">
        <v>45</v>
      </c>
      <c r="E339" s="2">
        <v>45119</v>
      </c>
      <c r="F339" s="2" t="str">
        <f t="shared" ca="1" si="26"/>
        <v>No</v>
      </c>
      <c r="G339" s="2" t="str">
        <f t="shared" si="27"/>
        <v>Jul-2023</v>
      </c>
      <c r="H339" s="2">
        <v>45275</v>
      </c>
      <c r="I339">
        <v>8</v>
      </c>
      <c r="J339" t="s">
        <v>34</v>
      </c>
      <c r="K339">
        <v>4</v>
      </c>
      <c r="L339" t="s">
        <v>46</v>
      </c>
      <c r="M339" s="9">
        <v>34047</v>
      </c>
      <c r="N339" t="s">
        <v>36</v>
      </c>
      <c r="O339" t="s">
        <v>26</v>
      </c>
      <c r="P339" t="s">
        <v>27</v>
      </c>
      <c r="Q339" s="2">
        <v>45028</v>
      </c>
      <c r="R339" s="13">
        <f t="shared" si="28"/>
        <v>1020.0000000034925</v>
      </c>
      <c r="S339" s="13">
        <f t="shared" si="29"/>
        <v>-2640.3607214426406</v>
      </c>
      <c r="T339" s="2">
        <v>45028.708333333336</v>
      </c>
      <c r="U339" t="s">
        <v>37</v>
      </c>
      <c r="V339" t="s">
        <v>29</v>
      </c>
      <c r="W339" t="s">
        <v>30</v>
      </c>
      <c r="X339">
        <v>8</v>
      </c>
      <c r="Y339">
        <v>10</v>
      </c>
      <c r="Z339" t="s">
        <v>31</v>
      </c>
    </row>
    <row r="340" spans="1:26">
      <c r="A340" t="s">
        <v>397</v>
      </c>
      <c r="B340">
        <v>18</v>
      </c>
      <c r="C340" t="str">
        <f t="shared" si="25"/>
        <v>18-35</v>
      </c>
      <c r="D340" t="s">
        <v>33</v>
      </c>
      <c r="E340" s="2">
        <v>45348</v>
      </c>
      <c r="F340" s="2" t="str">
        <f t="shared" ca="1" si="26"/>
        <v>No</v>
      </c>
      <c r="G340" s="2" t="str">
        <f t="shared" si="27"/>
        <v>Feb-2024</v>
      </c>
      <c r="H340" s="2">
        <v>45385</v>
      </c>
      <c r="I340">
        <v>7</v>
      </c>
      <c r="J340" t="s">
        <v>57</v>
      </c>
      <c r="K340">
        <v>5</v>
      </c>
      <c r="L340" t="s">
        <v>46</v>
      </c>
      <c r="M340" s="9">
        <v>48356</v>
      </c>
      <c r="N340" t="s">
        <v>36</v>
      </c>
      <c r="O340" t="s">
        <v>26</v>
      </c>
      <c r="P340" t="s">
        <v>27</v>
      </c>
      <c r="Q340" s="2">
        <v>45347</v>
      </c>
      <c r="R340" s="13">
        <f t="shared" si="28"/>
        <v>2579.9999999965075</v>
      </c>
      <c r="S340" s="13">
        <f t="shared" si="29"/>
        <v>-2639.8797595188003</v>
      </c>
      <c r="T340" s="2">
        <v>45348.791666666664</v>
      </c>
      <c r="U340" t="s">
        <v>28</v>
      </c>
      <c r="V340" t="s">
        <v>29</v>
      </c>
      <c r="W340" t="s">
        <v>43</v>
      </c>
      <c r="X340">
        <v>5</v>
      </c>
      <c r="Y340">
        <v>8</v>
      </c>
      <c r="Z340" t="s">
        <v>68</v>
      </c>
    </row>
    <row r="341" spans="1:26">
      <c r="A341" t="s">
        <v>398</v>
      </c>
      <c r="B341">
        <v>25</v>
      </c>
      <c r="C341" t="str">
        <f t="shared" si="25"/>
        <v>18-35</v>
      </c>
      <c r="D341" t="s">
        <v>22</v>
      </c>
      <c r="E341" s="2">
        <v>45269</v>
      </c>
      <c r="F341" s="2" t="str">
        <f t="shared" ca="1" si="26"/>
        <v>No</v>
      </c>
      <c r="G341" s="2" t="str">
        <f t="shared" si="27"/>
        <v>Dec-2023</v>
      </c>
      <c r="H341" s="2">
        <v>45186</v>
      </c>
      <c r="I341">
        <v>5</v>
      </c>
      <c r="J341" t="s">
        <v>23</v>
      </c>
      <c r="K341">
        <v>2</v>
      </c>
      <c r="L341" t="s">
        <v>71</v>
      </c>
      <c r="M341" s="9">
        <v>42134</v>
      </c>
      <c r="N341" t="s">
        <v>25</v>
      </c>
      <c r="O341" t="s">
        <v>54</v>
      </c>
      <c r="P341" t="s">
        <v>27</v>
      </c>
      <c r="Q341" s="2">
        <v>45147</v>
      </c>
      <c r="R341" s="13">
        <f t="shared" si="28"/>
        <v>45120.000000003492</v>
      </c>
      <c r="S341" s="13">
        <f t="shared" si="29"/>
        <v>-2642.8857715428412</v>
      </c>
      <c r="T341" s="2">
        <v>45178.333333333336</v>
      </c>
      <c r="U341" t="s">
        <v>64</v>
      </c>
      <c r="V341" t="s">
        <v>29</v>
      </c>
      <c r="W341" t="s">
        <v>30</v>
      </c>
      <c r="X341">
        <v>5</v>
      </c>
      <c r="Y341">
        <v>8</v>
      </c>
      <c r="Z341" t="s">
        <v>68</v>
      </c>
    </row>
    <row r="342" spans="1:26">
      <c r="A342" t="s">
        <v>399</v>
      </c>
      <c r="B342">
        <v>54</v>
      </c>
      <c r="C342" t="str">
        <f t="shared" si="25"/>
        <v>51-65</v>
      </c>
      <c r="D342" t="s">
        <v>62</v>
      </c>
      <c r="E342" s="2">
        <v>44936</v>
      </c>
      <c r="F342" s="2" t="str">
        <f t="shared" ca="1" si="26"/>
        <v>No</v>
      </c>
      <c r="G342" s="2" t="str">
        <f t="shared" si="27"/>
        <v>Jan-2023</v>
      </c>
      <c r="H342" s="2">
        <v>45056</v>
      </c>
      <c r="I342">
        <v>4</v>
      </c>
      <c r="J342" t="s">
        <v>63</v>
      </c>
      <c r="K342">
        <v>2</v>
      </c>
      <c r="L342" t="s">
        <v>46</v>
      </c>
      <c r="M342" s="9">
        <v>6506</v>
      </c>
      <c r="N342" t="s">
        <v>36</v>
      </c>
      <c r="O342" t="s">
        <v>54</v>
      </c>
      <c r="P342" t="s">
        <v>27</v>
      </c>
      <c r="Q342" s="2">
        <v>45195</v>
      </c>
      <c r="R342" s="13">
        <f t="shared" si="28"/>
        <v>2039.9999999965075</v>
      </c>
      <c r="S342" s="13">
        <f t="shared" si="29"/>
        <v>-2732.7054108213983</v>
      </c>
      <c r="T342" s="2">
        <v>45196.416666666664</v>
      </c>
      <c r="U342" t="s">
        <v>55</v>
      </c>
      <c r="V342" t="s">
        <v>29</v>
      </c>
      <c r="W342" t="s">
        <v>47</v>
      </c>
      <c r="X342">
        <v>10</v>
      </c>
      <c r="Y342">
        <v>8</v>
      </c>
      <c r="Z342" t="s">
        <v>68</v>
      </c>
    </row>
    <row r="343" spans="1:26">
      <c r="A343" t="s">
        <v>400</v>
      </c>
      <c r="B343">
        <v>58</v>
      </c>
      <c r="C343" t="str">
        <f t="shared" si="25"/>
        <v>51-65</v>
      </c>
      <c r="D343" t="s">
        <v>41</v>
      </c>
      <c r="E343" s="2">
        <v>45090</v>
      </c>
      <c r="F343" s="2" t="str">
        <f t="shared" ca="1" si="26"/>
        <v>No</v>
      </c>
      <c r="G343" s="2" t="str">
        <f t="shared" si="27"/>
        <v>Jun-2023</v>
      </c>
      <c r="H343" s="2">
        <v>45103</v>
      </c>
      <c r="I343">
        <v>13</v>
      </c>
      <c r="J343" t="s">
        <v>34</v>
      </c>
      <c r="K343">
        <v>4</v>
      </c>
      <c r="L343" t="s">
        <v>35</v>
      </c>
      <c r="M343" s="9">
        <v>20222</v>
      </c>
      <c r="N343" t="s">
        <v>36</v>
      </c>
      <c r="O343" t="s">
        <v>54</v>
      </c>
      <c r="P343" t="s">
        <v>27</v>
      </c>
      <c r="Q343" s="2">
        <v>45144</v>
      </c>
      <c r="R343" s="13">
        <f t="shared" si="28"/>
        <v>45660.000000003492</v>
      </c>
      <c r="S343" s="13">
        <f t="shared" si="29"/>
        <v>-3153.6673346690936</v>
      </c>
      <c r="T343" s="2">
        <v>45175.708333333336</v>
      </c>
      <c r="U343" t="s">
        <v>55</v>
      </c>
      <c r="V343" t="s">
        <v>29</v>
      </c>
      <c r="W343" t="s">
        <v>30</v>
      </c>
      <c r="X343">
        <v>5</v>
      </c>
      <c r="Y343">
        <v>10</v>
      </c>
      <c r="Z343" t="s">
        <v>48</v>
      </c>
    </row>
    <row r="344" spans="1:26">
      <c r="A344" t="s">
        <v>401</v>
      </c>
      <c r="B344">
        <v>67</v>
      </c>
      <c r="C344" t="str">
        <f t="shared" si="25"/>
        <v>66+</v>
      </c>
      <c r="D344" t="s">
        <v>41</v>
      </c>
      <c r="E344" s="2">
        <v>45037</v>
      </c>
      <c r="F344" s="2" t="str">
        <f t="shared" ca="1" si="26"/>
        <v>No</v>
      </c>
      <c r="G344" s="2" t="str">
        <f t="shared" si="27"/>
        <v>Apr-2023</v>
      </c>
      <c r="H344" s="2">
        <v>45046</v>
      </c>
      <c r="I344">
        <v>9</v>
      </c>
      <c r="J344" t="s">
        <v>50</v>
      </c>
      <c r="K344">
        <v>4</v>
      </c>
      <c r="L344" t="s">
        <v>46</v>
      </c>
      <c r="M344" s="9">
        <v>17363</v>
      </c>
      <c r="N344" t="s">
        <v>36</v>
      </c>
      <c r="O344" t="s">
        <v>54</v>
      </c>
      <c r="P344" t="s">
        <v>41</v>
      </c>
      <c r="Q344" s="2">
        <v>45033</v>
      </c>
      <c r="R344" s="13">
        <f t="shared" si="28"/>
        <v>1260</v>
      </c>
      <c r="S344" s="13">
        <f t="shared" si="29"/>
        <v>-3496.232464929622</v>
      </c>
      <c r="T344" s="2">
        <v>45033.875</v>
      </c>
      <c r="U344" t="s">
        <v>42</v>
      </c>
      <c r="V344" t="s">
        <v>29</v>
      </c>
      <c r="W344" t="s">
        <v>47</v>
      </c>
      <c r="X344">
        <v>11</v>
      </c>
      <c r="Y344">
        <v>8</v>
      </c>
      <c r="Z344" t="s">
        <v>48</v>
      </c>
    </row>
    <row r="345" spans="1:26">
      <c r="A345" t="s">
        <v>402</v>
      </c>
      <c r="B345">
        <v>46</v>
      </c>
      <c r="C345" t="str">
        <f t="shared" si="25"/>
        <v>36-50</v>
      </c>
      <c r="D345" t="s">
        <v>22</v>
      </c>
      <c r="E345" s="2">
        <v>45318</v>
      </c>
      <c r="F345" s="2" t="str">
        <f t="shared" ca="1" si="26"/>
        <v>No</v>
      </c>
      <c r="G345" s="2" t="str">
        <f t="shared" si="27"/>
        <v>Jan-2024</v>
      </c>
      <c r="H345" s="2">
        <v>45320</v>
      </c>
      <c r="I345">
        <v>2</v>
      </c>
      <c r="J345" t="s">
        <v>23</v>
      </c>
      <c r="K345">
        <v>5</v>
      </c>
      <c r="L345" t="s">
        <v>24</v>
      </c>
      <c r="M345" s="9">
        <v>24613</v>
      </c>
      <c r="N345" t="s">
        <v>53</v>
      </c>
      <c r="O345" t="s">
        <v>54</v>
      </c>
      <c r="P345" t="s">
        <v>27</v>
      </c>
      <c r="Q345" s="2">
        <v>45315</v>
      </c>
      <c r="R345" s="13">
        <f t="shared" si="28"/>
        <v>2340</v>
      </c>
      <c r="S345" s="13">
        <f t="shared" si="29"/>
        <v>-3497.7955911821196</v>
      </c>
      <c r="T345" s="2">
        <v>45316.625</v>
      </c>
      <c r="U345" t="s">
        <v>64</v>
      </c>
      <c r="V345" t="s">
        <v>38</v>
      </c>
      <c r="W345" t="s">
        <v>30</v>
      </c>
      <c r="X345">
        <v>11</v>
      </c>
      <c r="Y345">
        <v>12</v>
      </c>
      <c r="Z345" t="s">
        <v>31</v>
      </c>
    </row>
    <row r="346" spans="1:26">
      <c r="A346" t="s">
        <v>403</v>
      </c>
      <c r="B346">
        <v>24</v>
      </c>
      <c r="C346" t="str">
        <f t="shared" si="25"/>
        <v>18-35</v>
      </c>
      <c r="D346" t="s">
        <v>45</v>
      </c>
      <c r="E346" s="2">
        <v>45171</v>
      </c>
      <c r="F346" s="2" t="str">
        <f t="shared" ca="1" si="26"/>
        <v>No</v>
      </c>
      <c r="G346" s="2" t="str">
        <f t="shared" si="27"/>
        <v>Sep-2023</v>
      </c>
      <c r="H346" s="2">
        <v>44972</v>
      </c>
      <c r="I346">
        <v>6</v>
      </c>
      <c r="J346" t="s">
        <v>63</v>
      </c>
      <c r="K346">
        <v>1</v>
      </c>
      <c r="L346" t="s">
        <v>71</v>
      </c>
      <c r="M346" s="9">
        <v>49563</v>
      </c>
      <c r="N346" t="s">
        <v>25</v>
      </c>
      <c r="O346" t="s">
        <v>26</v>
      </c>
      <c r="P346" t="s">
        <v>27</v>
      </c>
      <c r="Q346" s="2">
        <v>45140</v>
      </c>
      <c r="R346" s="13">
        <f t="shared" si="28"/>
        <v>44699.999999996508</v>
      </c>
      <c r="S346" s="13">
        <f t="shared" si="29"/>
        <v>-3498.5170340678915</v>
      </c>
      <c r="T346" s="2">
        <v>45171.041666666664</v>
      </c>
      <c r="U346" t="s">
        <v>37</v>
      </c>
      <c r="V346" t="s">
        <v>29</v>
      </c>
      <c r="W346" t="s">
        <v>47</v>
      </c>
      <c r="X346">
        <v>5</v>
      </c>
      <c r="Y346">
        <v>12</v>
      </c>
      <c r="Z346" t="s">
        <v>68</v>
      </c>
    </row>
    <row r="347" spans="1:26">
      <c r="A347" t="s">
        <v>404</v>
      </c>
      <c r="B347">
        <v>32</v>
      </c>
      <c r="C347" t="str">
        <f t="shared" si="25"/>
        <v>18-35</v>
      </c>
      <c r="D347" t="s">
        <v>22</v>
      </c>
      <c r="E347" s="2">
        <v>45408</v>
      </c>
      <c r="F347" s="2" t="str">
        <f t="shared" ca="1" si="26"/>
        <v>No</v>
      </c>
      <c r="G347" s="2" t="str">
        <f t="shared" si="27"/>
        <v>Apr-2024</v>
      </c>
      <c r="H347" s="2">
        <v>45356</v>
      </c>
      <c r="I347">
        <v>7</v>
      </c>
      <c r="J347" t="s">
        <v>63</v>
      </c>
      <c r="K347">
        <v>1</v>
      </c>
      <c r="L347" t="s">
        <v>24</v>
      </c>
      <c r="M347" s="9">
        <v>35628</v>
      </c>
      <c r="N347" t="s">
        <v>67</v>
      </c>
      <c r="O347" t="s">
        <v>54</v>
      </c>
      <c r="P347" t="s">
        <v>27</v>
      </c>
      <c r="Q347" s="2">
        <v>45403</v>
      </c>
      <c r="R347" s="13">
        <f t="shared" si="28"/>
        <v>2399.9999999965075</v>
      </c>
      <c r="S347" s="13">
        <f t="shared" si="29"/>
        <v>-3499.1182364726869</v>
      </c>
      <c r="T347" s="2">
        <v>45404.666666666664</v>
      </c>
      <c r="U347" t="s">
        <v>55</v>
      </c>
      <c r="V347" t="s">
        <v>29</v>
      </c>
      <c r="W347" t="s">
        <v>43</v>
      </c>
      <c r="X347">
        <v>10</v>
      </c>
      <c r="Y347">
        <v>8</v>
      </c>
      <c r="Z347" t="s">
        <v>68</v>
      </c>
    </row>
    <row r="348" spans="1:26">
      <c r="A348" t="s">
        <v>405</v>
      </c>
      <c r="B348">
        <v>47</v>
      </c>
      <c r="C348" t="str">
        <f t="shared" si="25"/>
        <v>36-50</v>
      </c>
      <c r="D348" t="s">
        <v>41</v>
      </c>
      <c r="E348" s="2">
        <v>45154</v>
      </c>
      <c r="F348" s="2" t="str">
        <f t="shared" ca="1" si="26"/>
        <v>No</v>
      </c>
      <c r="G348" s="2" t="str">
        <f t="shared" si="27"/>
        <v>Aug-2023</v>
      </c>
      <c r="H348" s="2">
        <v>45156</v>
      </c>
      <c r="I348">
        <v>2</v>
      </c>
      <c r="J348" t="s">
        <v>34</v>
      </c>
      <c r="K348">
        <v>3</v>
      </c>
      <c r="L348" t="s">
        <v>46</v>
      </c>
      <c r="M348" s="9">
        <v>47626</v>
      </c>
      <c r="N348" t="s">
        <v>53</v>
      </c>
      <c r="O348" t="s">
        <v>54</v>
      </c>
      <c r="P348" t="s">
        <v>27</v>
      </c>
      <c r="Q348" s="2">
        <v>45153</v>
      </c>
      <c r="R348" s="13">
        <f t="shared" si="28"/>
        <v>1560.0000000034925</v>
      </c>
      <c r="S348" s="13">
        <f t="shared" si="29"/>
        <v>-3503.4468937873162</v>
      </c>
      <c r="T348" s="2">
        <v>45154.083333333336</v>
      </c>
      <c r="U348" t="s">
        <v>64</v>
      </c>
      <c r="V348" t="s">
        <v>29</v>
      </c>
      <c r="W348" t="s">
        <v>30</v>
      </c>
      <c r="X348">
        <v>5</v>
      </c>
      <c r="Y348">
        <v>12</v>
      </c>
      <c r="Z348" t="s">
        <v>68</v>
      </c>
    </row>
    <row r="349" spans="1:26">
      <c r="A349" t="s">
        <v>406</v>
      </c>
      <c r="B349">
        <v>86</v>
      </c>
      <c r="C349" t="str">
        <f t="shared" si="25"/>
        <v>66+</v>
      </c>
      <c r="D349" t="s">
        <v>52</v>
      </c>
      <c r="E349" s="2">
        <v>45131</v>
      </c>
      <c r="F349" s="2" t="str">
        <f t="shared" ca="1" si="26"/>
        <v>No</v>
      </c>
      <c r="G349" s="2" t="str">
        <f t="shared" si="27"/>
        <v>Jul-2023</v>
      </c>
      <c r="H349" s="2">
        <v>45136</v>
      </c>
      <c r="I349">
        <v>5</v>
      </c>
      <c r="J349" t="s">
        <v>63</v>
      </c>
      <c r="K349">
        <v>2</v>
      </c>
      <c r="L349" t="s">
        <v>35</v>
      </c>
      <c r="M349" s="9">
        <v>9136</v>
      </c>
      <c r="N349" t="s">
        <v>60</v>
      </c>
      <c r="O349" t="s">
        <v>26</v>
      </c>
      <c r="P349" t="s">
        <v>27</v>
      </c>
      <c r="Q349" s="2">
        <v>45131</v>
      </c>
      <c r="R349" s="13">
        <f t="shared" si="28"/>
        <v>2280.0000000034925</v>
      </c>
      <c r="S349" s="13">
        <f t="shared" si="29"/>
        <v>-3505.1302605207902</v>
      </c>
      <c r="T349" s="2">
        <v>45132.583333333336</v>
      </c>
      <c r="U349" t="s">
        <v>42</v>
      </c>
      <c r="V349" t="s">
        <v>29</v>
      </c>
      <c r="W349" t="s">
        <v>30</v>
      </c>
      <c r="X349">
        <v>9</v>
      </c>
      <c r="Y349">
        <v>12</v>
      </c>
      <c r="Z349" t="s">
        <v>68</v>
      </c>
    </row>
    <row r="350" spans="1:26">
      <c r="A350" t="s">
        <v>407</v>
      </c>
      <c r="B350">
        <v>23</v>
      </c>
      <c r="C350" t="str">
        <f t="shared" si="25"/>
        <v>18-35</v>
      </c>
      <c r="D350" t="s">
        <v>62</v>
      </c>
      <c r="E350" s="2">
        <v>45398</v>
      </c>
      <c r="F350" s="2" t="str">
        <f t="shared" ca="1" si="26"/>
        <v>No</v>
      </c>
      <c r="G350" s="2" t="str">
        <f t="shared" si="27"/>
        <v>Apr-2024</v>
      </c>
      <c r="H350" s="2">
        <v>45409</v>
      </c>
      <c r="I350">
        <v>11</v>
      </c>
      <c r="J350" t="s">
        <v>34</v>
      </c>
      <c r="K350">
        <v>5</v>
      </c>
      <c r="L350" t="s">
        <v>66</v>
      </c>
      <c r="M350" s="9">
        <v>16161</v>
      </c>
      <c r="N350" t="s">
        <v>25</v>
      </c>
      <c r="O350" t="s">
        <v>54</v>
      </c>
      <c r="P350" t="s">
        <v>27</v>
      </c>
      <c r="Q350" s="2">
        <v>45630</v>
      </c>
      <c r="R350" s="13">
        <f t="shared" si="28"/>
        <v>480.00000000349246</v>
      </c>
      <c r="S350" s="13">
        <f t="shared" si="29"/>
        <v>-3507.8957915829214</v>
      </c>
      <c r="T350" s="2">
        <v>45630.333333333336</v>
      </c>
      <c r="U350" t="s">
        <v>28</v>
      </c>
      <c r="V350" t="s">
        <v>29</v>
      </c>
      <c r="W350" t="s">
        <v>47</v>
      </c>
      <c r="X350">
        <v>10</v>
      </c>
      <c r="Y350">
        <v>12</v>
      </c>
      <c r="Z350" t="s">
        <v>48</v>
      </c>
    </row>
    <row r="351" spans="1:26">
      <c r="A351" t="s">
        <v>408</v>
      </c>
      <c r="B351">
        <v>66</v>
      </c>
      <c r="C351" t="str">
        <f t="shared" si="25"/>
        <v>66+</v>
      </c>
      <c r="D351" t="s">
        <v>22</v>
      </c>
      <c r="E351" s="2">
        <v>45285</v>
      </c>
      <c r="F351" s="2" t="str">
        <f t="shared" ca="1" si="26"/>
        <v>No</v>
      </c>
      <c r="G351" s="2" t="str">
        <f t="shared" si="27"/>
        <v>Dec-2023</v>
      </c>
      <c r="H351" s="2">
        <v>45413</v>
      </c>
      <c r="I351">
        <v>11</v>
      </c>
      <c r="J351" t="s">
        <v>40</v>
      </c>
      <c r="K351">
        <v>2</v>
      </c>
      <c r="L351" t="s">
        <v>46</v>
      </c>
      <c r="M351" s="9">
        <v>40457</v>
      </c>
      <c r="N351" t="s">
        <v>25</v>
      </c>
      <c r="O351" t="s">
        <v>26</v>
      </c>
      <c r="P351" t="s">
        <v>41</v>
      </c>
      <c r="Q351" s="2">
        <v>45280</v>
      </c>
      <c r="R351" s="13">
        <f t="shared" si="28"/>
        <v>1380.0000000034925</v>
      </c>
      <c r="S351" s="13">
        <f t="shared" si="29"/>
        <v>-3421.0821643284262</v>
      </c>
      <c r="T351" s="2">
        <v>45280.958333333336</v>
      </c>
      <c r="U351" t="s">
        <v>42</v>
      </c>
      <c r="V351" t="s">
        <v>29</v>
      </c>
      <c r="W351" t="s">
        <v>47</v>
      </c>
      <c r="X351">
        <v>7</v>
      </c>
      <c r="Y351">
        <v>12</v>
      </c>
      <c r="Z351" t="s">
        <v>31</v>
      </c>
    </row>
    <row r="352" spans="1:26">
      <c r="A352" t="s">
        <v>409</v>
      </c>
      <c r="B352">
        <v>27</v>
      </c>
      <c r="C352" t="str">
        <f t="shared" si="25"/>
        <v>18-35</v>
      </c>
      <c r="D352" t="s">
        <v>41</v>
      </c>
      <c r="E352" s="2">
        <v>45180</v>
      </c>
      <c r="F352" s="2" t="str">
        <f t="shared" ca="1" si="26"/>
        <v>No</v>
      </c>
      <c r="G352" s="2" t="str">
        <f t="shared" si="27"/>
        <v>Sep-2023</v>
      </c>
      <c r="H352" s="2">
        <v>45249</v>
      </c>
      <c r="I352">
        <v>10</v>
      </c>
      <c r="J352" t="s">
        <v>23</v>
      </c>
      <c r="K352">
        <v>5</v>
      </c>
      <c r="L352" t="s">
        <v>35</v>
      </c>
      <c r="M352" s="9">
        <v>28574</v>
      </c>
      <c r="N352" t="s">
        <v>60</v>
      </c>
      <c r="O352" t="s">
        <v>26</v>
      </c>
      <c r="P352" t="s">
        <v>27</v>
      </c>
      <c r="Q352" s="2">
        <v>45180</v>
      </c>
      <c r="R352" s="13">
        <f t="shared" si="28"/>
        <v>1380.0000000034925</v>
      </c>
      <c r="S352" s="13">
        <f t="shared" si="29"/>
        <v>-3423.4869739476717</v>
      </c>
      <c r="T352" s="2">
        <v>45180.958333333336</v>
      </c>
      <c r="U352" t="s">
        <v>42</v>
      </c>
      <c r="V352" t="s">
        <v>29</v>
      </c>
      <c r="W352" t="s">
        <v>30</v>
      </c>
      <c r="X352">
        <v>4</v>
      </c>
      <c r="Y352">
        <v>12</v>
      </c>
      <c r="Z352" t="s">
        <v>31</v>
      </c>
    </row>
    <row r="353" spans="1:26">
      <c r="A353" t="s">
        <v>410</v>
      </c>
      <c r="B353">
        <v>2</v>
      </c>
      <c r="C353" t="str">
        <f t="shared" si="25"/>
        <v>0-17</v>
      </c>
      <c r="D353" t="s">
        <v>45</v>
      </c>
      <c r="E353" s="2">
        <v>45160</v>
      </c>
      <c r="F353" s="2" t="str">
        <f t="shared" ca="1" si="26"/>
        <v>No</v>
      </c>
      <c r="G353" s="2" t="str">
        <f t="shared" si="27"/>
        <v>Aug-2023</v>
      </c>
      <c r="H353" s="2">
        <v>45168</v>
      </c>
      <c r="I353">
        <v>8</v>
      </c>
      <c r="J353" t="s">
        <v>57</v>
      </c>
      <c r="K353">
        <v>5</v>
      </c>
      <c r="L353" t="s">
        <v>71</v>
      </c>
      <c r="M353" s="9">
        <v>31902</v>
      </c>
      <c r="N353" t="s">
        <v>60</v>
      </c>
      <c r="O353" t="s">
        <v>54</v>
      </c>
      <c r="P353" t="s">
        <v>27</v>
      </c>
      <c r="Q353" s="2">
        <v>45159</v>
      </c>
      <c r="R353" s="13">
        <f t="shared" si="28"/>
        <v>1800</v>
      </c>
      <c r="S353" s="13">
        <f t="shared" si="29"/>
        <v>-3423.126252504786</v>
      </c>
      <c r="T353" s="2">
        <v>45160.25</v>
      </c>
      <c r="U353" t="s">
        <v>64</v>
      </c>
      <c r="V353" t="s">
        <v>29</v>
      </c>
      <c r="W353" t="s">
        <v>47</v>
      </c>
      <c r="X353">
        <v>9</v>
      </c>
      <c r="Y353">
        <v>10</v>
      </c>
      <c r="Z353" t="s">
        <v>48</v>
      </c>
    </row>
    <row r="354" spans="1:26">
      <c r="A354" t="s">
        <v>411</v>
      </c>
      <c r="B354">
        <v>17</v>
      </c>
      <c r="C354" t="str">
        <f t="shared" si="25"/>
        <v>0-17</v>
      </c>
      <c r="D354" t="s">
        <v>41</v>
      </c>
      <c r="E354" s="2">
        <v>45155</v>
      </c>
      <c r="F354" s="2" t="str">
        <f t="shared" ca="1" si="26"/>
        <v>No</v>
      </c>
      <c r="G354" s="2" t="str">
        <f t="shared" si="27"/>
        <v>Aug-2023</v>
      </c>
      <c r="H354" s="2">
        <v>45164</v>
      </c>
      <c r="I354">
        <v>9</v>
      </c>
      <c r="J354" t="s">
        <v>40</v>
      </c>
      <c r="K354">
        <v>5</v>
      </c>
      <c r="L354" t="s">
        <v>24</v>
      </c>
      <c r="M354" s="9">
        <v>7810</v>
      </c>
      <c r="N354" t="s">
        <v>60</v>
      </c>
      <c r="O354" t="s">
        <v>54</v>
      </c>
      <c r="P354" t="s">
        <v>41</v>
      </c>
      <c r="Q354" s="2">
        <v>45155</v>
      </c>
      <c r="R354" s="13">
        <f t="shared" si="28"/>
        <v>2399.9999999965075</v>
      </c>
      <c r="S354" s="13">
        <f t="shared" si="29"/>
        <v>-3426.1322645288274</v>
      </c>
      <c r="T354" s="2">
        <v>45156.666666666664</v>
      </c>
      <c r="U354" t="s">
        <v>55</v>
      </c>
      <c r="V354" t="s">
        <v>29</v>
      </c>
      <c r="W354" t="s">
        <v>43</v>
      </c>
      <c r="X354">
        <v>11</v>
      </c>
      <c r="Y354">
        <v>8</v>
      </c>
      <c r="Z354" t="s">
        <v>68</v>
      </c>
    </row>
    <row r="355" spans="1:26">
      <c r="A355" t="s">
        <v>412</v>
      </c>
      <c r="B355">
        <v>33</v>
      </c>
      <c r="C355" t="str">
        <f t="shared" si="25"/>
        <v>18-35</v>
      </c>
      <c r="D355" t="s">
        <v>45</v>
      </c>
      <c r="E355" s="2">
        <v>44951</v>
      </c>
      <c r="F355" s="2" t="str">
        <f t="shared" ca="1" si="26"/>
        <v>No</v>
      </c>
      <c r="G355" s="2" t="str">
        <f t="shared" si="27"/>
        <v>Jan-2023</v>
      </c>
      <c r="H355" s="2">
        <v>45048</v>
      </c>
      <c r="I355">
        <v>11</v>
      </c>
      <c r="J355" t="s">
        <v>23</v>
      </c>
      <c r="K355">
        <v>2</v>
      </c>
      <c r="L355" t="s">
        <v>24</v>
      </c>
      <c r="M355" s="9">
        <v>16663</v>
      </c>
      <c r="N355" t="s">
        <v>67</v>
      </c>
      <c r="O355" t="s">
        <v>54</v>
      </c>
      <c r="P355" t="s">
        <v>27</v>
      </c>
      <c r="Q355" s="2">
        <v>44948</v>
      </c>
      <c r="R355" s="13">
        <f t="shared" si="28"/>
        <v>720</v>
      </c>
      <c r="S355" s="13">
        <f t="shared" si="29"/>
        <v>-3427.3346693384392</v>
      </c>
      <c r="T355" s="2">
        <v>44948.5</v>
      </c>
      <c r="U355" t="s">
        <v>64</v>
      </c>
      <c r="V355" t="s">
        <v>29</v>
      </c>
      <c r="W355" t="s">
        <v>30</v>
      </c>
      <c r="X355">
        <v>9</v>
      </c>
      <c r="Y355">
        <v>12</v>
      </c>
      <c r="Z355" t="s">
        <v>31</v>
      </c>
    </row>
    <row r="356" spans="1:26">
      <c r="A356" t="s">
        <v>413</v>
      </c>
      <c r="B356">
        <v>9</v>
      </c>
      <c r="C356" t="str">
        <f t="shared" si="25"/>
        <v>0-17</v>
      </c>
      <c r="D356" t="s">
        <v>22</v>
      </c>
      <c r="E356" s="2">
        <v>45124</v>
      </c>
      <c r="F356" s="2" t="str">
        <f t="shared" ca="1" si="26"/>
        <v>No</v>
      </c>
      <c r="G356" s="2" t="str">
        <f t="shared" si="27"/>
        <v>Jul-2023</v>
      </c>
      <c r="H356" s="2">
        <v>45129</v>
      </c>
      <c r="I356">
        <v>5</v>
      </c>
      <c r="J356" t="s">
        <v>34</v>
      </c>
      <c r="K356">
        <v>4</v>
      </c>
      <c r="L356" t="s">
        <v>24</v>
      </c>
      <c r="M356" s="9">
        <v>11152</v>
      </c>
      <c r="N356" t="s">
        <v>36</v>
      </c>
      <c r="O356" t="s">
        <v>26</v>
      </c>
      <c r="P356" t="s">
        <v>27</v>
      </c>
      <c r="Q356" s="2">
        <v>45122</v>
      </c>
      <c r="R356" s="13">
        <f t="shared" si="28"/>
        <v>2640.0000000034925</v>
      </c>
      <c r="S356" s="13">
        <f t="shared" si="29"/>
        <v>-3426.4929859717131</v>
      </c>
      <c r="T356" s="2">
        <v>45123.833333333336</v>
      </c>
      <c r="U356" t="s">
        <v>28</v>
      </c>
      <c r="V356" t="s">
        <v>29</v>
      </c>
      <c r="W356" t="s">
        <v>43</v>
      </c>
      <c r="X356">
        <v>8</v>
      </c>
      <c r="Y356">
        <v>8</v>
      </c>
      <c r="Z356" t="s">
        <v>31</v>
      </c>
    </row>
    <row r="357" spans="1:26">
      <c r="A357" t="s">
        <v>414</v>
      </c>
      <c r="B357">
        <v>43</v>
      </c>
      <c r="C357" t="str">
        <f t="shared" si="25"/>
        <v>36-50</v>
      </c>
      <c r="D357" t="s">
        <v>45</v>
      </c>
      <c r="E357" s="2">
        <v>45335</v>
      </c>
      <c r="F357" s="2" t="str">
        <f t="shared" ca="1" si="26"/>
        <v>No</v>
      </c>
      <c r="G357" s="2" t="str">
        <f t="shared" si="27"/>
        <v>Feb-2024</v>
      </c>
      <c r="H357" s="2">
        <v>45336</v>
      </c>
      <c r="I357">
        <v>1</v>
      </c>
      <c r="J357" t="s">
        <v>23</v>
      </c>
      <c r="K357">
        <v>2</v>
      </c>
      <c r="L357" t="s">
        <v>71</v>
      </c>
      <c r="M357" s="9">
        <v>5012</v>
      </c>
      <c r="N357" t="s">
        <v>25</v>
      </c>
      <c r="O357" t="s">
        <v>54</v>
      </c>
      <c r="P357" t="s">
        <v>27</v>
      </c>
      <c r="Q357" s="2">
        <v>45567</v>
      </c>
      <c r="R357" s="13">
        <f t="shared" si="28"/>
        <v>45959.999999996508</v>
      </c>
      <c r="S357" s="13">
        <f t="shared" si="29"/>
        <v>-3429.378757514799</v>
      </c>
      <c r="T357" s="2">
        <v>45598.916666666664</v>
      </c>
      <c r="U357" t="s">
        <v>64</v>
      </c>
      <c r="V357" t="s">
        <v>29</v>
      </c>
      <c r="W357" t="s">
        <v>30</v>
      </c>
      <c r="X357">
        <v>10</v>
      </c>
      <c r="Y357">
        <v>12</v>
      </c>
      <c r="Z357" t="s">
        <v>48</v>
      </c>
    </row>
    <row r="358" spans="1:26">
      <c r="A358" t="s">
        <v>415</v>
      </c>
      <c r="B358">
        <v>48</v>
      </c>
      <c r="C358" t="str">
        <f t="shared" si="25"/>
        <v>36-50</v>
      </c>
      <c r="D358" t="s">
        <v>33</v>
      </c>
      <c r="E358" s="2">
        <v>44997</v>
      </c>
      <c r="F358" s="2" t="str">
        <f t="shared" ca="1" si="26"/>
        <v>No</v>
      </c>
      <c r="G358" s="2" t="str">
        <f t="shared" si="27"/>
        <v>Mar-2023</v>
      </c>
      <c r="H358" s="2">
        <v>45119</v>
      </c>
      <c r="I358">
        <v>4</v>
      </c>
      <c r="J358" t="s">
        <v>34</v>
      </c>
      <c r="K358">
        <v>5</v>
      </c>
      <c r="L358" t="s">
        <v>35</v>
      </c>
      <c r="M358" s="9">
        <v>16162</v>
      </c>
      <c r="N358" t="s">
        <v>36</v>
      </c>
      <c r="O358" t="s">
        <v>26</v>
      </c>
      <c r="P358" t="s">
        <v>41</v>
      </c>
      <c r="Q358" s="2">
        <v>44969</v>
      </c>
      <c r="R358" s="13">
        <f t="shared" si="28"/>
        <v>1200.0000000034925</v>
      </c>
      <c r="S358" s="13">
        <f t="shared" si="29"/>
        <v>-3518.9579158314255</v>
      </c>
      <c r="T358" s="2">
        <v>44969.833333333336</v>
      </c>
      <c r="U358" t="s">
        <v>37</v>
      </c>
      <c r="V358" t="s">
        <v>29</v>
      </c>
      <c r="W358" t="s">
        <v>43</v>
      </c>
      <c r="X358">
        <v>11</v>
      </c>
      <c r="Y358">
        <v>10</v>
      </c>
      <c r="Z358" t="s">
        <v>68</v>
      </c>
    </row>
    <row r="359" spans="1:26">
      <c r="A359" t="s">
        <v>416</v>
      </c>
      <c r="B359">
        <v>39</v>
      </c>
      <c r="C359" t="str">
        <f t="shared" si="25"/>
        <v>36-50</v>
      </c>
      <c r="D359" t="s">
        <v>33</v>
      </c>
      <c r="E359" s="2">
        <v>45212</v>
      </c>
      <c r="F359" s="2" t="str">
        <f t="shared" ca="1" si="26"/>
        <v>No</v>
      </c>
      <c r="G359" s="2" t="str">
        <f t="shared" si="27"/>
        <v>Oct-2023</v>
      </c>
      <c r="H359" s="2">
        <v>45219</v>
      </c>
      <c r="I359">
        <v>7</v>
      </c>
      <c r="J359" t="s">
        <v>40</v>
      </c>
      <c r="K359">
        <v>3</v>
      </c>
      <c r="L359" t="s">
        <v>71</v>
      </c>
      <c r="M359" s="9">
        <v>27322</v>
      </c>
      <c r="N359" t="s">
        <v>36</v>
      </c>
      <c r="O359" t="s">
        <v>26</v>
      </c>
      <c r="P359" t="s">
        <v>41</v>
      </c>
      <c r="Q359" s="2">
        <v>45209</v>
      </c>
      <c r="R359" s="13">
        <f t="shared" si="28"/>
        <v>45599.999999996508</v>
      </c>
      <c r="S359" s="13">
        <f t="shared" si="29"/>
        <v>-3520.6412825648995</v>
      </c>
      <c r="T359" s="2">
        <v>45240.666666666664</v>
      </c>
      <c r="U359" t="s">
        <v>42</v>
      </c>
      <c r="V359" t="s">
        <v>29</v>
      </c>
      <c r="W359" t="s">
        <v>30</v>
      </c>
      <c r="X359">
        <v>4</v>
      </c>
      <c r="Y359">
        <v>10</v>
      </c>
      <c r="Z359" t="s">
        <v>31</v>
      </c>
    </row>
    <row r="360" spans="1:26">
      <c r="A360" t="s">
        <v>417</v>
      </c>
      <c r="B360">
        <v>42</v>
      </c>
      <c r="C360" t="str">
        <f t="shared" si="25"/>
        <v>36-50</v>
      </c>
      <c r="D360" t="s">
        <v>33</v>
      </c>
      <c r="E360" s="2">
        <v>44998</v>
      </c>
      <c r="F360" s="2" t="str">
        <f t="shared" ca="1" si="26"/>
        <v>No</v>
      </c>
      <c r="G360" s="2" t="str">
        <f t="shared" si="27"/>
        <v>Mar-2023</v>
      </c>
      <c r="H360" s="2">
        <v>45008</v>
      </c>
      <c r="I360">
        <v>10</v>
      </c>
      <c r="J360" t="s">
        <v>50</v>
      </c>
      <c r="K360">
        <v>1</v>
      </c>
      <c r="L360" t="s">
        <v>24</v>
      </c>
      <c r="M360" s="9">
        <v>12999</v>
      </c>
      <c r="N360" t="s">
        <v>60</v>
      </c>
      <c r="O360" t="s">
        <v>54</v>
      </c>
      <c r="P360" t="s">
        <v>27</v>
      </c>
      <c r="Q360" s="2">
        <v>45141</v>
      </c>
      <c r="R360" s="13">
        <f t="shared" si="28"/>
        <v>45480.000000003492</v>
      </c>
      <c r="S360" s="13">
        <f t="shared" si="29"/>
        <v>-3607.6953907813254</v>
      </c>
      <c r="T360" s="2">
        <v>45172.583333333336</v>
      </c>
      <c r="U360" t="s">
        <v>55</v>
      </c>
      <c r="V360" t="s">
        <v>29</v>
      </c>
      <c r="W360" t="s">
        <v>47</v>
      </c>
      <c r="X360">
        <v>5</v>
      </c>
      <c r="Y360">
        <v>12</v>
      </c>
      <c r="Z360" t="s">
        <v>68</v>
      </c>
    </row>
    <row r="361" spans="1:26">
      <c r="A361" t="s">
        <v>418</v>
      </c>
      <c r="B361">
        <v>26</v>
      </c>
      <c r="C361" t="str">
        <f t="shared" si="25"/>
        <v>18-35</v>
      </c>
      <c r="D361" t="s">
        <v>52</v>
      </c>
      <c r="E361" s="2">
        <v>45212</v>
      </c>
      <c r="F361" s="2" t="str">
        <f t="shared" ca="1" si="26"/>
        <v>No</v>
      </c>
      <c r="G361" s="2" t="str">
        <f t="shared" si="27"/>
        <v>Oct-2023</v>
      </c>
      <c r="H361" s="2">
        <v>45213</v>
      </c>
      <c r="I361">
        <v>1</v>
      </c>
      <c r="J361" t="s">
        <v>50</v>
      </c>
      <c r="K361">
        <v>5</v>
      </c>
      <c r="L361" t="s">
        <v>46</v>
      </c>
      <c r="M361" s="9">
        <v>12219</v>
      </c>
      <c r="N361" t="s">
        <v>67</v>
      </c>
      <c r="O361" t="s">
        <v>26</v>
      </c>
      <c r="P361" t="s">
        <v>41</v>
      </c>
      <c r="Q361" s="2">
        <v>45270</v>
      </c>
      <c r="R361" s="13">
        <f t="shared" si="28"/>
        <v>360</v>
      </c>
      <c r="S361" s="13">
        <f t="shared" si="29"/>
        <v>-3608.6573146290275</v>
      </c>
      <c r="T361" s="2">
        <v>45270.25</v>
      </c>
      <c r="U361" t="s">
        <v>28</v>
      </c>
      <c r="V361" t="s">
        <v>29</v>
      </c>
      <c r="W361" t="s">
        <v>30</v>
      </c>
      <c r="X361">
        <v>4</v>
      </c>
      <c r="Y361">
        <v>12</v>
      </c>
      <c r="Z361" t="s">
        <v>31</v>
      </c>
    </row>
    <row r="362" spans="1:26">
      <c r="A362" t="s">
        <v>419</v>
      </c>
      <c r="B362">
        <v>50</v>
      </c>
      <c r="C362" t="str">
        <f t="shared" si="25"/>
        <v>36-50</v>
      </c>
      <c r="D362" t="s">
        <v>22</v>
      </c>
      <c r="E362" s="2">
        <v>45286</v>
      </c>
      <c r="F362" s="2" t="str">
        <f t="shared" ca="1" si="26"/>
        <v>No</v>
      </c>
      <c r="G362" s="2" t="str">
        <f t="shared" si="27"/>
        <v>Dec-2023</v>
      </c>
      <c r="H362" s="2">
        <v>45287</v>
      </c>
      <c r="I362">
        <v>1</v>
      </c>
      <c r="J362" t="s">
        <v>23</v>
      </c>
      <c r="K362">
        <v>3</v>
      </c>
      <c r="L362" t="s">
        <v>66</v>
      </c>
      <c r="M362" s="9">
        <v>10328</v>
      </c>
      <c r="N362" t="s">
        <v>53</v>
      </c>
      <c r="O362" t="s">
        <v>54</v>
      </c>
      <c r="P362" t="s">
        <v>27</v>
      </c>
      <c r="Q362" s="2">
        <v>45283</v>
      </c>
      <c r="R362" s="13">
        <f t="shared" si="28"/>
        <v>2640.0000000034925</v>
      </c>
      <c r="S362" s="13">
        <f t="shared" si="29"/>
        <v>-3609.2585170338443</v>
      </c>
      <c r="T362" s="2">
        <v>45284.833333333336</v>
      </c>
      <c r="U362" t="s">
        <v>42</v>
      </c>
      <c r="V362" t="s">
        <v>29</v>
      </c>
      <c r="W362" t="s">
        <v>43</v>
      </c>
      <c r="X362">
        <v>7</v>
      </c>
      <c r="Y362">
        <v>12</v>
      </c>
      <c r="Z362" t="s">
        <v>48</v>
      </c>
    </row>
    <row r="363" spans="1:26">
      <c r="A363" t="s">
        <v>420</v>
      </c>
      <c r="B363">
        <v>25</v>
      </c>
      <c r="C363" t="str">
        <f t="shared" si="25"/>
        <v>18-35</v>
      </c>
      <c r="D363" t="s">
        <v>41</v>
      </c>
      <c r="E363" s="2">
        <v>45418</v>
      </c>
      <c r="F363" s="2" t="str">
        <f t="shared" ca="1" si="26"/>
        <v>No</v>
      </c>
      <c r="G363" s="2" t="str">
        <f t="shared" si="27"/>
        <v>May-2024</v>
      </c>
      <c r="H363" s="2">
        <v>45541</v>
      </c>
      <c r="I363">
        <v>4</v>
      </c>
      <c r="J363" t="s">
        <v>50</v>
      </c>
      <c r="K363">
        <v>4</v>
      </c>
      <c r="L363" t="s">
        <v>71</v>
      </c>
      <c r="M363" s="9">
        <v>8621</v>
      </c>
      <c r="N363" t="s">
        <v>67</v>
      </c>
      <c r="O363" t="s">
        <v>26</v>
      </c>
      <c r="P363" t="s">
        <v>27</v>
      </c>
      <c r="Q363" s="2">
        <v>45297</v>
      </c>
      <c r="R363" s="13">
        <f t="shared" si="28"/>
        <v>540</v>
      </c>
      <c r="S363" s="13">
        <f t="shared" si="29"/>
        <v>-3525.0901803605043</v>
      </c>
      <c r="T363" s="2">
        <v>45297.375</v>
      </c>
      <c r="U363" t="s">
        <v>64</v>
      </c>
      <c r="V363" t="s">
        <v>29</v>
      </c>
      <c r="W363" t="s">
        <v>30</v>
      </c>
      <c r="X363">
        <v>6</v>
      </c>
      <c r="Y363">
        <v>10</v>
      </c>
      <c r="Z363" t="s">
        <v>68</v>
      </c>
    </row>
    <row r="364" spans="1:26">
      <c r="A364" t="s">
        <v>421</v>
      </c>
      <c r="B364">
        <v>24</v>
      </c>
      <c r="C364" t="str">
        <f t="shared" si="25"/>
        <v>18-35</v>
      </c>
      <c r="D364" t="s">
        <v>41</v>
      </c>
      <c r="E364" s="2">
        <v>45336</v>
      </c>
      <c r="F364" s="2" t="str">
        <f t="shared" ca="1" si="26"/>
        <v>No</v>
      </c>
      <c r="G364" s="2" t="str">
        <f t="shared" si="27"/>
        <v>Feb-2024</v>
      </c>
      <c r="H364" s="2">
        <v>45341</v>
      </c>
      <c r="I364">
        <v>5</v>
      </c>
      <c r="J364" t="s">
        <v>34</v>
      </c>
      <c r="K364">
        <v>5</v>
      </c>
      <c r="L364" t="s">
        <v>71</v>
      </c>
      <c r="M364" s="9">
        <v>29256</v>
      </c>
      <c r="N364" t="s">
        <v>36</v>
      </c>
      <c r="O364" t="s">
        <v>54</v>
      </c>
      <c r="P364" t="s">
        <v>41</v>
      </c>
      <c r="Q364" s="2">
        <v>45567</v>
      </c>
      <c r="R364" s="13">
        <f t="shared" si="28"/>
        <v>1260</v>
      </c>
      <c r="S364" s="13">
        <f t="shared" si="29"/>
        <v>-3524.6092184366639</v>
      </c>
      <c r="T364" s="2">
        <v>45567.875</v>
      </c>
      <c r="U364" t="s">
        <v>37</v>
      </c>
      <c r="V364" t="s">
        <v>29</v>
      </c>
      <c r="W364" t="s">
        <v>43</v>
      </c>
      <c r="X364">
        <v>9</v>
      </c>
      <c r="Y364">
        <v>10</v>
      </c>
      <c r="Z364" t="s">
        <v>48</v>
      </c>
    </row>
    <row r="365" spans="1:26">
      <c r="A365" t="s">
        <v>422</v>
      </c>
      <c r="B365">
        <v>13</v>
      </c>
      <c r="C365" t="str">
        <f t="shared" si="25"/>
        <v>0-17</v>
      </c>
      <c r="D365" t="s">
        <v>52</v>
      </c>
      <c r="E365" s="2">
        <v>45089</v>
      </c>
      <c r="F365" s="2" t="str">
        <f t="shared" ca="1" si="26"/>
        <v>No</v>
      </c>
      <c r="G365" s="2" t="str">
        <f t="shared" si="27"/>
        <v>Jun-2023</v>
      </c>
      <c r="H365" s="2">
        <v>45211</v>
      </c>
      <c r="I365">
        <v>4</v>
      </c>
      <c r="J365" t="s">
        <v>63</v>
      </c>
      <c r="K365">
        <v>3</v>
      </c>
      <c r="L365" t="s">
        <v>35</v>
      </c>
      <c r="M365" s="9">
        <v>49433</v>
      </c>
      <c r="N365" t="s">
        <v>67</v>
      </c>
      <c r="O365" t="s">
        <v>54</v>
      </c>
      <c r="P365" t="s">
        <v>41</v>
      </c>
      <c r="Q365" s="2">
        <v>44997</v>
      </c>
      <c r="R365" s="13">
        <f t="shared" si="28"/>
        <v>480.00000000349246</v>
      </c>
      <c r="S365" s="13">
        <f t="shared" si="29"/>
        <v>-3524.8496993985946</v>
      </c>
      <c r="T365" s="2">
        <v>44997.333333333336</v>
      </c>
      <c r="U365" t="s">
        <v>64</v>
      </c>
      <c r="V365" t="s">
        <v>38</v>
      </c>
      <c r="W365" t="s">
        <v>43</v>
      </c>
      <c r="X365">
        <v>10</v>
      </c>
      <c r="Y365">
        <v>8</v>
      </c>
      <c r="Z365" t="s">
        <v>31</v>
      </c>
    </row>
    <row r="366" spans="1:26">
      <c r="A366" t="s">
        <v>423</v>
      </c>
      <c r="B366">
        <v>60</v>
      </c>
      <c r="C366" t="str">
        <f t="shared" si="25"/>
        <v>51-65</v>
      </c>
      <c r="D366" t="s">
        <v>45</v>
      </c>
      <c r="E366" s="2">
        <v>44955</v>
      </c>
      <c r="F366" s="2" t="str">
        <f t="shared" ca="1" si="26"/>
        <v>No</v>
      </c>
      <c r="G366" s="2" t="str">
        <f t="shared" si="27"/>
        <v>Jan-2023</v>
      </c>
      <c r="H366" s="2">
        <v>45232</v>
      </c>
      <c r="I366">
        <v>13</v>
      </c>
      <c r="J366" t="s">
        <v>34</v>
      </c>
      <c r="K366">
        <v>5</v>
      </c>
      <c r="L366" t="s">
        <v>35</v>
      </c>
      <c r="M366" s="9">
        <v>16314</v>
      </c>
      <c r="N366" t="s">
        <v>60</v>
      </c>
      <c r="O366" t="s">
        <v>54</v>
      </c>
      <c r="P366" t="s">
        <v>27</v>
      </c>
      <c r="Q366" s="2">
        <v>44950</v>
      </c>
      <c r="R366" s="13">
        <f t="shared" si="28"/>
        <v>959.99999999650754</v>
      </c>
      <c r="S366" s="13">
        <f t="shared" si="29"/>
        <v>-3434.7895791581277</v>
      </c>
      <c r="T366" s="2">
        <v>44950.666666666664</v>
      </c>
      <c r="U366" t="s">
        <v>42</v>
      </c>
      <c r="V366" t="s">
        <v>29</v>
      </c>
      <c r="W366" t="s">
        <v>43</v>
      </c>
      <c r="X366">
        <v>10</v>
      </c>
      <c r="Y366">
        <v>10</v>
      </c>
      <c r="Z366" t="s">
        <v>48</v>
      </c>
    </row>
    <row r="367" spans="1:26">
      <c r="A367" t="s">
        <v>424</v>
      </c>
      <c r="B367">
        <v>7</v>
      </c>
      <c r="C367" t="str">
        <f t="shared" si="25"/>
        <v>0-17</v>
      </c>
      <c r="D367" t="s">
        <v>52</v>
      </c>
      <c r="E367" s="2">
        <v>45045</v>
      </c>
      <c r="F367" s="2" t="str">
        <f t="shared" ca="1" si="26"/>
        <v>No</v>
      </c>
      <c r="G367" s="2" t="str">
        <f t="shared" si="27"/>
        <v>Apr-2023</v>
      </c>
      <c r="H367" s="2">
        <v>44962</v>
      </c>
      <c r="I367">
        <v>3</v>
      </c>
      <c r="J367" t="s">
        <v>63</v>
      </c>
      <c r="K367">
        <v>2</v>
      </c>
      <c r="L367" t="s">
        <v>71</v>
      </c>
      <c r="M367" s="9">
        <v>5652</v>
      </c>
      <c r="N367" t="s">
        <v>53</v>
      </c>
      <c r="O367" t="s">
        <v>26</v>
      </c>
      <c r="P367" t="s">
        <v>27</v>
      </c>
      <c r="Q367" s="2">
        <v>45040</v>
      </c>
      <c r="R367" s="13">
        <f t="shared" si="28"/>
        <v>1200.0000000034925</v>
      </c>
      <c r="S367" s="13">
        <f t="shared" si="29"/>
        <v>-3434.308617234266</v>
      </c>
      <c r="T367" s="2">
        <v>45040.833333333336</v>
      </c>
      <c r="U367" t="s">
        <v>28</v>
      </c>
      <c r="V367" t="s">
        <v>29</v>
      </c>
      <c r="W367" t="s">
        <v>47</v>
      </c>
      <c r="X367">
        <v>4</v>
      </c>
      <c r="Y367">
        <v>12</v>
      </c>
      <c r="Z367" t="s">
        <v>48</v>
      </c>
    </row>
    <row r="368" spans="1:26">
      <c r="A368" t="s">
        <v>425</v>
      </c>
      <c r="B368">
        <v>57</v>
      </c>
      <c r="C368" t="str">
        <f t="shared" si="25"/>
        <v>51-65</v>
      </c>
      <c r="D368" t="s">
        <v>45</v>
      </c>
      <c r="E368" s="2">
        <v>45194</v>
      </c>
      <c r="F368" s="2" t="str">
        <f t="shared" ca="1" si="26"/>
        <v>No</v>
      </c>
      <c r="G368" s="2" t="str">
        <f t="shared" si="27"/>
        <v>Sep-2023</v>
      </c>
      <c r="H368" s="2">
        <v>45148</v>
      </c>
      <c r="I368">
        <v>13</v>
      </c>
      <c r="J368" t="s">
        <v>40</v>
      </c>
      <c r="K368">
        <v>3</v>
      </c>
      <c r="L368" t="s">
        <v>24</v>
      </c>
      <c r="M368" s="9">
        <v>21182</v>
      </c>
      <c r="N368" t="s">
        <v>60</v>
      </c>
      <c r="O368" t="s">
        <v>54</v>
      </c>
      <c r="P368" t="s">
        <v>27</v>
      </c>
      <c r="Q368" s="2">
        <v>45194</v>
      </c>
      <c r="R368" s="13">
        <f t="shared" si="28"/>
        <v>480.00000000349246</v>
      </c>
      <c r="S368" s="13">
        <f t="shared" si="29"/>
        <v>-3430.9418837673393</v>
      </c>
      <c r="T368" s="2">
        <v>45194.333333333336</v>
      </c>
      <c r="U368" t="s">
        <v>55</v>
      </c>
      <c r="V368" t="s">
        <v>29</v>
      </c>
      <c r="W368" t="s">
        <v>30</v>
      </c>
      <c r="X368">
        <v>8</v>
      </c>
      <c r="Y368">
        <v>8</v>
      </c>
      <c r="Z368" t="s">
        <v>48</v>
      </c>
    </row>
    <row r="369" spans="1:26">
      <c r="A369" t="s">
        <v>426</v>
      </c>
      <c r="B369">
        <v>36</v>
      </c>
      <c r="C369" t="str">
        <f t="shared" si="25"/>
        <v>36-50</v>
      </c>
      <c r="D369" t="s">
        <v>45</v>
      </c>
      <c r="E369" s="2">
        <v>44964</v>
      </c>
      <c r="F369" s="2" t="str">
        <f t="shared" ca="1" si="26"/>
        <v>No</v>
      </c>
      <c r="G369" s="2" t="str">
        <f t="shared" si="27"/>
        <v>Feb-2023</v>
      </c>
      <c r="H369" s="2">
        <v>45114</v>
      </c>
      <c r="I369">
        <v>5</v>
      </c>
      <c r="J369" t="s">
        <v>57</v>
      </c>
      <c r="K369">
        <v>2</v>
      </c>
      <c r="L369" t="s">
        <v>66</v>
      </c>
      <c r="M369" s="9">
        <v>46580</v>
      </c>
      <c r="N369" t="s">
        <v>53</v>
      </c>
      <c r="O369" t="s">
        <v>54</v>
      </c>
      <c r="P369" t="s">
        <v>27</v>
      </c>
      <c r="Q369" s="2">
        <v>45104</v>
      </c>
      <c r="R369" s="13">
        <f t="shared" si="28"/>
        <v>720</v>
      </c>
      <c r="S369" s="13">
        <f t="shared" si="29"/>
        <v>-4108.136272544908</v>
      </c>
      <c r="T369" s="2">
        <v>45104.5</v>
      </c>
      <c r="U369" t="s">
        <v>42</v>
      </c>
      <c r="V369" t="s">
        <v>29</v>
      </c>
      <c r="W369" t="s">
        <v>43</v>
      </c>
      <c r="X369">
        <v>11</v>
      </c>
      <c r="Y369">
        <v>10</v>
      </c>
      <c r="Z369" t="s">
        <v>31</v>
      </c>
    </row>
    <row r="370" spans="1:26">
      <c r="A370" t="s">
        <v>427</v>
      </c>
      <c r="B370">
        <v>45</v>
      </c>
      <c r="C370" t="str">
        <f t="shared" si="25"/>
        <v>36-50</v>
      </c>
      <c r="D370" t="s">
        <v>62</v>
      </c>
      <c r="E370" s="2">
        <v>45198</v>
      </c>
      <c r="F370" s="2" t="str">
        <f t="shared" ca="1" si="26"/>
        <v>No</v>
      </c>
      <c r="G370" s="2" t="str">
        <f t="shared" si="27"/>
        <v>Sep-2023</v>
      </c>
      <c r="H370" s="2">
        <v>45026</v>
      </c>
      <c r="I370">
        <v>5</v>
      </c>
      <c r="J370" t="s">
        <v>63</v>
      </c>
      <c r="K370">
        <v>2</v>
      </c>
      <c r="L370" t="s">
        <v>35</v>
      </c>
      <c r="M370" s="9">
        <v>41558</v>
      </c>
      <c r="N370" t="s">
        <v>36</v>
      </c>
      <c r="O370" t="s">
        <v>54</v>
      </c>
      <c r="P370" t="s">
        <v>27</v>
      </c>
      <c r="Q370" s="2">
        <v>45197</v>
      </c>
      <c r="R370" s="13">
        <f t="shared" si="28"/>
        <v>1440</v>
      </c>
      <c r="S370" s="13">
        <f t="shared" si="29"/>
        <v>-4107.6553106210677</v>
      </c>
      <c r="T370" s="2">
        <v>45198</v>
      </c>
      <c r="U370" t="s">
        <v>28</v>
      </c>
      <c r="V370" t="s">
        <v>29</v>
      </c>
      <c r="W370" t="s">
        <v>47</v>
      </c>
      <c r="X370">
        <v>7</v>
      </c>
      <c r="Y370">
        <v>10</v>
      </c>
      <c r="Z370" t="s">
        <v>68</v>
      </c>
    </row>
    <row r="371" spans="1:26">
      <c r="A371" t="s">
        <v>428</v>
      </c>
      <c r="B371">
        <v>20</v>
      </c>
      <c r="C371" t="str">
        <f t="shared" si="25"/>
        <v>18-35</v>
      </c>
      <c r="D371" t="s">
        <v>41</v>
      </c>
      <c r="E371" s="2">
        <v>45171</v>
      </c>
      <c r="F371" s="2" t="str">
        <f t="shared" ca="1" si="26"/>
        <v>No</v>
      </c>
      <c r="G371" s="2" t="str">
        <f t="shared" si="27"/>
        <v>Sep-2023</v>
      </c>
      <c r="H371" s="2">
        <v>44972</v>
      </c>
      <c r="I371">
        <v>6</v>
      </c>
      <c r="J371" t="s">
        <v>50</v>
      </c>
      <c r="K371">
        <v>3</v>
      </c>
      <c r="L371" t="s">
        <v>24</v>
      </c>
      <c r="M371" s="9">
        <v>20659</v>
      </c>
      <c r="N371" t="s">
        <v>53</v>
      </c>
      <c r="O371" t="s">
        <v>54</v>
      </c>
      <c r="P371" t="s">
        <v>27</v>
      </c>
      <c r="Q371" s="2">
        <v>45048</v>
      </c>
      <c r="R371" s="13">
        <f t="shared" si="28"/>
        <v>45900</v>
      </c>
      <c r="S371" s="13">
        <f t="shared" si="29"/>
        <v>-4020.3607214427107</v>
      </c>
      <c r="T371" s="2">
        <v>45079.875</v>
      </c>
      <c r="U371" t="s">
        <v>42</v>
      </c>
      <c r="V371" t="s">
        <v>29</v>
      </c>
      <c r="W371" t="s">
        <v>43</v>
      </c>
      <c r="X371">
        <v>6</v>
      </c>
      <c r="Y371">
        <v>12</v>
      </c>
      <c r="Z371" t="s">
        <v>48</v>
      </c>
    </row>
    <row r="372" spans="1:26">
      <c r="A372" t="s">
        <v>429</v>
      </c>
      <c r="B372">
        <v>65</v>
      </c>
      <c r="C372" t="str">
        <f t="shared" si="25"/>
        <v>51-65</v>
      </c>
      <c r="D372" t="s">
        <v>33</v>
      </c>
      <c r="E372" s="2">
        <v>45038</v>
      </c>
      <c r="F372" s="2" t="str">
        <f t="shared" ca="1" si="26"/>
        <v>No</v>
      </c>
      <c r="G372" s="2" t="str">
        <f t="shared" si="27"/>
        <v>Apr-2023</v>
      </c>
      <c r="H372" s="2">
        <v>45040</v>
      </c>
      <c r="I372">
        <v>2</v>
      </c>
      <c r="J372" t="s">
        <v>34</v>
      </c>
      <c r="K372">
        <v>1</v>
      </c>
      <c r="L372" t="s">
        <v>46</v>
      </c>
      <c r="M372" s="9">
        <v>39413</v>
      </c>
      <c r="N372" t="s">
        <v>53</v>
      </c>
      <c r="O372" t="s">
        <v>26</v>
      </c>
      <c r="P372" t="s">
        <v>27</v>
      </c>
      <c r="Q372" s="2">
        <v>45037</v>
      </c>
      <c r="R372" s="13">
        <f t="shared" si="28"/>
        <v>599.99999999650754</v>
      </c>
      <c r="S372" s="13">
        <f t="shared" si="29"/>
        <v>-4109.4589178354963</v>
      </c>
      <c r="T372" s="2">
        <v>45037.416666666664</v>
      </c>
      <c r="U372" t="s">
        <v>37</v>
      </c>
      <c r="V372" t="s">
        <v>29</v>
      </c>
      <c r="W372" t="s">
        <v>30</v>
      </c>
      <c r="X372">
        <v>7</v>
      </c>
      <c r="Y372">
        <v>8</v>
      </c>
      <c r="Z372" t="s">
        <v>68</v>
      </c>
    </row>
    <row r="373" spans="1:26">
      <c r="A373" t="s">
        <v>430</v>
      </c>
      <c r="B373">
        <v>8</v>
      </c>
      <c r="C373" t="str">
        <f t="shared" si="25"/>
        <v>0-17</v>
      </c>
      <c r="D373" t="s">
        <v>45</v>
      </c>
      <c r="E373" s="2">
        <v>45371</v>
      </c>
      <c r="F373" s="2" t="str">
        <f t="shared" ca="1" si="26"/>
        <v>No</v>
      </c>
      <c r="G373" s="2" t="str">
        <f t="shared" si="27"/>
        <v>Mar-2024</v>
      </c>
      <c r="H373" s="2">
        <v>45372</v>
      </c>
      <c r="I373">
        <v>1</v>
      </c>
      <c r="J373" t="s">
        <v>40</v>
      </c>
      <c r="K373">
        <v>3</v>
      </c>
      <c r="L373" t="s">
        <v>35</v>
      </c>
      <c r="M373" s="9">
        <v>15435</v>
      </c>
      <c r="N373" t="s">
        <v>53</v>
      </c>
      <c r="O373" t="s">
        <v>26</v>
      </c>
      <c r="P373" t="s">
        <v>27</v>
      </c>
      <c r="Q373" s="2">
        <v>45367</v>
      </c>
      <c r="R373" s="13">
        <f t="shared" si="28"/>
        <v>1980</v>
      </c>
      <c r="S373" s="13">
        <f t="shared" si="29"/>
        <v>-4106.0921843685492</v>
      </c>
      <c r="T373" s="2">
        <v>45368.375</v>
      </c>
      <c r="U373" t="s">
        <v>64</v>
      </c>
      <c r="V373" t="s">
        <v>29</v>
      </c>
      <c r="W373" t="s">
        <v>47</v>
      </c>
      <c r="X373">
        <v>10</v>
      </c>
      <c r="Y373">
        <v>10</v>
      </c>
      <c r="Z373" t="s">
        <v>31</v>
      </c>
    </row>
    <row r="374" spans="1:26">
      <c r="A374" t="s">
        <v>431</v>
      </c>
      <c r="B374">
        <v>16</v>
      </c>
      <c r="C374" t="str">
        <f t="shared" si="25"/>
        <v>0-17</v>
      </c>
      <c r="D374" t="s">
        <v>62</v>
      </c>
      <c r="E374" s="2">
        <v>45280</v>
      </c>
      <c r="F374" s="2" t="str">
        <f t="shared" ca="1" si="26"/>
        <v>No</v>
      </c>
      <c r="G374" s="2" t="str">
        <f t="shared" si="27"/>
        <v>Dec-2023</v>
      </c>
      <c r="H374" s="2">
        <v>45288</v>
      </c>
      <c r="I374">
        <v>8</v>
      </c>
      <c r="J374" t="s">
        <v>50</v>
      </c>
      <c r="K374">
        <v>1</v>
      </c>
      <c r="L374" t="s">
        <v>24</v>
      </c>
      <c r="M374" s="9">
        <v>33067</v>
      </c>
      <c r="N374" t="s">
        <v>67</v>
      </c>
      <c r="O374" t="s">
        <v>54</v>
      </c>
      <c r="P374" t="s">
        <v>27</v>
      </c>
      <c r="Q374" s="2">
        <v>45278</v>
      </c>
      <c r="R374" s="13">
        <f t="shared" si="28"/>
        <v>1499.9999999965075</v>
      </c>
      <c r="S374" s="13">
        <f t="shared" si="29"/>
        <v>-4106.2124248495047</v>
      </c>
      <c r="T374" s="2">
        <v>45279.041666666664</v>
      </c>
      <c r="U374" t="s">
        <v>55</v>
      </c>
      <c r="V374" t="s">
        <v>29</v>
      </c>
      <c r="W374" t="s">
        <v>43</v>
      </c>
      <c r="X374">
        <v>5</v>
      </c>
      <c r="Y374">
        <v>10</v>
      </c>
      <c r="Z374" t="s">
        <v>68</v>
      </c>
    </row>
    <row r="375" spans="1:26">
      <c r="A375" t="s">
        <v>432</v>
      </c>
      <c r="B375">
        <v>14</v>
      </c>
      <c r="C375" t="str">
        <f t="shared" si="25"/>
        <v>0-17</v>
      </c>
      <c r="D375" t="s">
        <v>41</v>
      </c>
      <c r="E375" s="2">
        <v>45248</v>
      </c>
      <c r="F375" s="2" t="str">
        <f t="shared" ca="1" si="26"/>
        <v>No</v>
      </c>
      <c r="G375" s="2" t="str">
        <f t="shared" si="27"/>
        <v>Nov-2023</v>
      </c>
      <c r="H375" s="2">
        <v>45260</v>
      </c>
      <c r="I375">
        <v>12</v>
      </c>
      <c r="J375" t="s">
        <v>40</v>
      </c>
      <c r="K375">
        <v>5</v>
      </c>
      <c r="L375" t="s">
        <v>24</v>
      </c>
      <c r="M375" s="9">
        <v>27258</v>
      </c>
      <c r="N375" t="s">
        <v>67</v>
      </c>
      <c r="O375" t="s">
        <v>54</v>
      </c>
      <c r="P375" t="s">
        <v>27</v>
      </c>
      <c r="Q375" s="2">
        <v>45243</v>
      </c>
      <c r="R375" s="13">
        <f t="shared" si="28"/>
        <v>1620</v>
      </c>
      <c r="S375" s="13">
        <f t="shared" si="29"/>
        <v>-4107.6553106210467</v>
      </c>
      <c r="T375" s="2">
        <v>45244.125</v>
      </c>
      <c r="U375" t="s">
        <v>28</v>
      </c>
      <c r="V375" t="s">
        <v>29</v>
      </c>
      <c r="W375" t="s">
        <v>43</v>
      </c>
      <c r="X375">
        <v>6</v>
      </c>
      <c r="Y375">
        <v>12</v>
      </c>
      <c r="Z375" t="s">
        <v>48</v>
      </c>
    </row>
    <row r="376" spans="1:26">
      <c r="A376" t="s">
        <v>433</v>
      </c>
      <c r="B376">
        <v>76</v>
      </c>
      <c r="C376" t="str">
        <f t="shared" si="25"/>
        <v>66+</v>
      </c>
      <c r="D376" t="s">
        <v>33</v>
      </c>
      <c r="E376" s="2">
        <v>45373</v>
      </c>
      <c r="F376" s="2" t="str">
        <f t="shared" ca="1" si="26"/>
        <v>No</v>
      </c>
      <c r="G376" s="2" t="str">
        <f t="shared" si="27"/>
        <v>Mar-2024</v>
      </c>
      <c r="H376" s="2">
        <v>45380</v>
      </c>
      <c r="I376">
        <v>7</v>
      </c>
      <c r="J376" t="s">
        <v>57</v>
      </c>
      <c r="K376">
        <v>5</v>
      </c>
      <c r="L376" t="s">
        <v>66</v>
      </c>
      <c r="M376" s="9">
        <v>33287</v>
      </c>
      <c r="N376" t="s">
        <v>36</v>
      </c>
      <c r="O376" t="s">
        <v>54</v>
      </c>
      <c r="P376" t="s">
        <v>41</v>
      </c>
      <c r="Q376" s="2">
        <v>45370</v>
      </c>
      <c r="R376" s="13">
        <f t="shared" si="28"/>
        <v>2340</v>
      </c>
      <c r="S376" s="13">
        <f t="shared" si="29"/>
        <v>-4105.2505010018012</v>
      </c>
      <c r="T376" s="2">
        <v>45371.625</v>
      </c>
      <c r="U376" t="s">
        <v>55</v>
      </c>
      <c r="V376" t="s">
        <v>29</v>
      </c>
      <c r="W376" t="s">
        <v>43</v>
      </c>
      <c r="X376">
        <v>11</v>
      </c>
      <c r="Y376">
        <v>8</v>
      </c>
      <c r="Z376" t="s">
        <v>48</v>
      </c>
    </row>
    <row r="377" spans="1:26">
      <c r="A377" t="s">
        <v>434</v>
      </c>
      <c r="B377">
        <v>87</v>
      </c>
      <c r="C377" t="str">
        <f t="shared" si="25"/>
        <v>66+</v>
      </c>
      <c r="D377" t="s">
        <v>45</v>
      </c>
      <c r="E377" s="2">
        <v>45479</v>
      </c>
      <c r="F377" s="2" t="str">
        <f t="shared" ca="1" si="26"/>
        <v>No</v>
      </c>
      <c r="G377" s="2" t="str">
        <f t="shared" si="27"/>
        <v>Jul-2024</v>
      </c>
      <c r="H377" s="2">
        <v>45571</v>
      </c>
      <c r="I377">
        <v>3</v>
      </c>
      <c r="J377" t="s">
        <v>34</v>
      </c>
      <c r="K377">
        <v>3</v>
      </c>
      <c r="L377" t="s">
        <v>66</v>
      </c>
      <c r="M377" s="9">
        <v>8688</v>
      </c>
      <c r="N377" t="s">
        <v>53</v>
      </c>
      <c r="O377" t="s">
        <v>54</v>
      </c>
      <c r="P377" t="s">
        <v>27</v>
      </c>
      <c r="Q377" s="2">
        <v>45357</v>
      </c>
      <c r="R377" s="13">
        <f t="shared" si="28"/>
        <v>540</v>
      </c>
      <c r="S377" s="13">
        <f t="shared" si="29"/>
        <v>-4105.7314629256425</v>
      </c>
      <c r="T377" s="2">
        <v>45357.375</v>
      </c>
      <c r="U377" t="s">
        <v>55</v>
      </c>
      <c r="V377" t="s">
        <v>29</v>
      </c>
      <c r="W377" t="s">
        <v>30</v>
      </c>
      <c r="X377">
        <v>11</v>
      </c>
      <c r="Y377">
        <v>8</v>
      </c>
      <c r="Z377" t="s">
        <v>48</v>
      </c>
    </row>
    <row r="378" spans="1:26">
      <c r="A378" t="s">
        <v>435</v>
      </c>
      <c r="B378">
        <v>15</v>
      </c>
      <c r="C378" t="str">
        <f t="shared" si="25"/>
        <v>0-17</v>
      </c>
      <c r="D378" t="s">
        <v>45</v>
      </c>
      <c r="E378" s="2">
        <v>45045</v>
      </c>
      <c r="F378" s="2" t="str">
        <f t="shared" ca="1" si="26"/>
        <v>No</v>
      </c>
      <c r="G378" s="2" t="str">
        <f t="shared" si="27"/>
        <v>Apr-2023</v>
      </c>
      <c r="H378" s="2">
        <v>44962</v>
      </c>
      <c r="I378">
        <v>3</v>
      </c>
      <c r="J378" t="s">
        <v>23</v>
      </c>
      <c r="K378">
        <v>5</v>
      </c>
      <c r="L378" t="s">
        <v>46</v>
      </c>
      <c r="M378" s="9">
        <v>12689</v>
      </c>
      <c r="N378" t="s">
        <v>25</v>
      </c>
      <c r="O378" t="s">
        <v>54</v>
      </c>
      <c r="P378" t="s">
        <v>41</v>
      </c>
      <c r="Q378" s="2">
        <v>45042</v>
      </c>
      <c r="R378" s="13">
        <f t="shared" si="28"/>
        <v>2219.9999999965075</v>
      </c>
      <c r="S378" s="13">
        <f t="shared" si="29"/>
        <v>-4104.8897795589155</v>
      </c>
      <c r="T378" s="2">
        <v>45043.541666666664</v>
      </c>
      <c r="U378" t="s">
        <v>55</v>
      </c>
      <c r="V378" t="s">
        <v>29</v>
      </c>
      <c r="W378" t="s">
        <v>47</v>
      </c>
      <c r="X378">
        <v>10</v>
      </c>
      <c r="Y378">
        <v>8</v>
      </c>
      <c r="Z378" t="s">
        <v>48</v>
      </c>
    </row>
    <row r="379" spans="1:26">
      <c r="A379" t="s">
        <v>436</v>
      </c>
      <c r="B379">
        <v>66</v>
      </c>
      <c r="C379" t="str">
        <f t="shared" si="25"/>
        <v>66+</v>
      </c>
      <c r="D379" t="s">
        <v>52</v>
      </c>
      <c r="E379" s="2">
        <v>45321</v>
      </c>
      <c r="F379" s="2" t="str">
        <f t="shared" ca="1" si="26"/>
        <v>No</v>
      </c>
      <c r="G379" s="2" t="str">
        <f t="shared" si="27"/>
        <v>Jan-2024</v>
      </c>
      <c r="H379" s="2">
        <v>45445</v>
      </c>
      <c r="I379">
        <v>7</v>
      </c>
      <c r="J379" t="s">
        <v>34</v>
      </c>
      <c r="K379">
        <v>4</v>
      </c>
      <c r="L379" t="s">
        <v>24</v>
      </c>
      <c r="M379" s="9">
        <v>6379</v>
      </c>
      <c r="N379" t="s">
        <v>36</v>
      </c>
      <c r="O379" t="s">
        <v>54</v>
      </c>
      <c r="P379" t="s">
        <v>41</v>
      </c>
      <c r="Q379" s="2">
        <v>45319</v>
      </c>
      <c r="R379" s="13">
        <f t="shared" si="28"/>
        <v>1499.9999999965075</v>
      </c>
      <c r="S379" s="13">
        <f t="shared" si="29"/>
        <v>-4108.1362725448871</v>
      </c>
      <c r="T379" s="2">
        <v>45320.041666666664</v>
      </c>
      <c r="U379" t="s">
        <v>28</v>
      </c>
      <c r="V379" t="s">
        <v>29</v>
      </c>
      <c r="W379" t="s">
        <v>47</v>
      </c>
      <c r="X379">
        <v>8</v>
      </c>
      <c r="Y379">
        <v>8</v>
      </c>
      <c r="Z379" t="s">
        <v>48</v>
      </c>
    </row>
    <row r="380" spans="1:26">
      <c r="A380" t="s">
        <v>437</v>
      </c>
      <c r="B380">
        <v>32</v>
      </c>
      <c r="C380" t="str">
        <f t="shared" si="25"/>
        <v>18-35</v>
      </c>
      <c r="D380" t="s">
        <v>52</v>
      </c>
      <c r="E380" s="2">
        <v>45121</v>
      </c>
      <c r="F380" s="2" t="str">
        <f t="shared" ca="1" si="26"/>
        <v>No</v>
      </c>
      <c r="G380" s="2" t="str">
        <f t="shared" si="27"/>
        <v>Jul-2023</v>
      </c>
      <c r="H380" s="2">
        <v>45130</v>
      </c>
      <c r="I380">
        <v>9</v>
      </c>
      <c r="J380" t="s">
        <v>57</v>
      </c>
      <c r="K380">
        <v>2</v>
      </c>
      <c r="L380" t="s">
        <v>24</v>
      </c>
      <c r="M380" s="9">
        <v>42011</v>
      </c>
      <c r="N380" t="s">
        <v>53</v>
      </c>
      <c r="O380" t="s">
        <v>54</v>
      </c>
      <c r="P380" t="s">
        <v>27</v>
      </c>
      <c r="Q380" s="2">
        <v>45120</v>
      </c>
      <c r="R380" s="13">
        <f t="shared" si="28"/>
        <v>1679.9999999965075</v>
      </c>
      <c r="S380" s="13">
        <f t="shared" si="29"/>
        <v>-4111.022044087973</v>
      </c>
      <c r="T380" s="2">
        <v>45121.166666666664</v>
      </c>
      <c r="U380" t="s">
        <v>28</v>
      </c>
      <c r="V380" t="s">
        <v>29</v>
      </c>
      <c r="W380" t="s">
        <v>47</v>
      </c>
      <c r="X380">
        <v>6</v>
      </c>
      <c r="Y380">
        <v>12</v>
      </c>
      <c r="Z380" t="s">
        <v>48</v>
      </c>
    </row>
    <row r="381" spans="1:26">
      <c r="A381" t="s">
        <v>438</v>
      </c>
      <c r="B381">
        <v>87</v>
      </c>
      <c r="C381" t="str">
        <f t="shared" si="25"/>
        <v>66+</v>
      </c>
      <c r="D381" t="s">
        <v>41</v>
      </c>
      <c r="E381" s="2">
        <v>45187</v>
      </c>
      <c r="F381" s="2" t="str">
        <f t="shared" ca="1" si="26"/>
        <v>No</v>
      </c>
      <c r="G381" s="2" t="str">
        <f t="shared" si="27"/>
        <v>Sep-2023</v>
      </c>
      <c r="H381" s="2">
        <v>45199</v>
      </c>
      <c r="I381">
        <v>12</v>
      </c>
      <c r="J381" t="s">
        <v>34</v>
      </c>
      <c r="K381">
        <v>2</v>
      </c>
      <c r="L381" t="s">
        <v>66</v>
      </c>
      <c r="M381" s="9">
        <v>48005</v>
      </c>
      <c r="N381" t="s">
        <v>53</v>
      </c>
      <c r="O381" t="s">
        <v>54</v>
      </c>
      <c r="P381" t="s">
        <v>27</v>
      </c>
      <c r="Q381" s="2">
        <v>45184</v>
      </c>
      <c r="R381" s="13">
        <f t="shared" si="28"/>
        <v>720</v>
      </c>
      <c r="S381" s="13">
        <f t="shared" si="29"/>
        <v>-4111.1422845689294</v>
      </c>
      <c r="T381" s="2">
        <v>45184.5</v>
      </c>
      <c r="U381" t="s">
        <v>55</v>
      </c>
      <c r="V381" t="s">
        <v>29</v>
      </c>
      <c r="W381" t="s">
        <v>43</v>
      </c>
      <c r="X381">
        <v>10</v>
      </c>
      <c r="Y381">
        <v>10</v>
      </c>
      <c r="Z381" t="s">
        <v>31</v>
      </c>
    </row>
    <row r="382" spans="1:26">
      <c r="A382" t="s">
        <v>439</v>
      </c>
      <c r="B382">
        <v>63</v>
      </c>
      <c r="C382" t="str">
        <f t="shared" si="25"/>
        <v>51-65</v>
      </c>
      <c r="D382" t="s">
        <v>33</v>
      </c>
      <c r="E382" s="2">
        <v>44972</v>
      </c>
      <c r="F382" s="2" t="str">
        <f t="shared" ca="1" si="26"/>
        <v>No</v>
      </c>
      <c r="G382" s="2" t="str">
        <f t="shared" si="27"/>
        <v>Feb-2023</v>
      </c>
      <c r="H382" s="2">
        <v>44976</v>
      </c>
      <c r="I382">
        <v>4</v>
      </c>
      <c r="J382" t="s">
        <v>23</v>
      </c>
      <c r="K382">
        <v>1</v>
      </c>
      <c r="L382" t="s">
        <v>35</v>
      </c>
      <c r="M382" s="9">
        <v>32624</v>
      </c>
      <c r="N382" t="s">
        <v>67</v>
      </c>
      <c r="O382" t="s">
        <v>26</v>
      </c>
      <c r="P382" t="s">
        <v>27</v>
      </c>
      <c r="Q382" s="2">
        <v>45232</v>
      </c>
      <c r="R382" s="13">
        <f t="shared" si="28"/>
        <v>43680.000000003492</v>
      </c>
      <c r="S382" s="13">
        <f t="shared" si="29"/>
        <v>-4112.3446893785413</v>
      </c>
      <c r="T382" s="2">
        <v>45262.333333333336</v>
      </c>
      <c r="U382" t="s">
        <v>64</v>
      </c>
      <c r="V382" t="s">
        <v>29</v>
      </c>
      <c r="W382" t="s">
        <v>47</v>
      </c>
      <c r="X382">
        <v>8</v>
      </c>
      <c r="Y382">
        <v>10</v>
      </c>
      <c r="Z382" t="s">
        <v>31</v>
      </c>
    </row>
    <row r="383" spans="1:26">
      <c r="A383" t="s">
        <v>440</v>
      </c>
      <c r="B383">
        <v>86</v>
      </c>
      <c r="C383" t="str">
        <f t="shared" si="25"/>
        <v>66+</v>
      </c>
      <c r="D383" t="s">
        <v>45</v>
      </c>
      <c r="E383" s="2">
        <v>45373</v>
      </c>
      <c r="F383" s="2" t="str">
        <f t="shared" ca="1" si="26"/>
        <v>No</v>
      </c>
      <c r="G383" s="2" t="str">
        <f t="shared" si="27"/>
        <v>Mar-2024</v>
      </c>
      <c r="H383" s="2">
        <v>45382</v>
      </c>
      <c r="I383">
        <v>9</v>
      </c>
      <c r="J383" t="s">
        <v>63</v>
      </c>
      <c r="K383">
        <v>5</v>
      </c>
      <c r="L383" t="s">
        <v>35</v>
      </c>
      <c r="M383" s="9">
        <v>30964</v>
      </c>
      <c r="N383" t="s">
        <v>36</v>
      </c>
      <c r="O383" t="s">
        <v>54</v>
      </c>
      <c r="P383" t="s">
        <v>27</v>
      </c>
      <c r="Q383" s="2">
        <v>45371</v>
      </c>
      <c r="R383" s="13">
        <f t="shared" si="28"/>
        <v>2460.0000000034925</v>
      </c>
      <c r="S383" s="13">
        <f t="shared" si="29"/>
        <v>-4198.0761523043984</v>
      </c>
      <c r="T383" s="2">
        <v>45372.708333333336</v>
      </c>
      <c r="U383" t="s">
        <v>42</v>
      </c>
      <c r="V383" t="s">
        <v>29</v>
      </c>
      <c r="W383" t="s">
        <v>43</v>
      </c>
      <c r="X383">
        <v>5</v>
      </c>
      <c r="Y383">
        <v>8</v>
      </c>
      <c r="Z383" t="s">
        <v>31</v>
      </c>
    </row>
    <row r="384" spans="1:26">
      <c r="A384" t="s">
        <v>441</v>
      </c>
      <c r="B384">
        <v>51</v>
      </c>
      <c r="C384" t="str">
        <f t="shared" si="25"/>
        <v>51-65</v>
      </c>
      <c r="D384" t="s">
        <v>41</v>
      </c>
      <c r="E384" s="2">
        <v>44958</v>
      </c>
      <c r="F384" s="2" t="str">
        <f t="shared" ca="1" si="26"/>
        <v>No</v>
      </c>
      <c r="G384" s="2" t="str">
        <f t="shared" si="27"/>
        <v>Feb-2023</v>
      </c>
      <c r="H384" s="2">
        <v>45231</v>
      </c>
      <c r="I384">
        <v>9</v>
      </c>
      <c r="J384" t="s">
        <v>40</v>
      </c>
      <c r="K384">
        <v>1</v>
      </c>
      <c r="L384" t="s">
        <v>71</v>
      </c>
      <c r="M384" s="9">
        <v>27891</v>
      </c>
      <c r="N384" t="s">
        <v>53</v>
      </c>
      <c r="O384" t="s">
        <v>54</v>
      </c>
      <c r="P384" t="s">
        <v>27</v>
      </c>
      <c r="Q384" s="2">
        <v>44924</v>
      </c>
      <c r="R384" s="13">
        <f t="shared" si="28"/>
        <v>2100.0000000034925</v>
      </c>
      <c r="S384" s="13">
        <f t="shared" si="29"/>
        <v>-4198.7975951901699</v>
      </c>
      <c r="T384" s="2">
        <v>44925.458333333336</v>
      </c>
      <c r="U384" t="s">
        <v>55</v>
      </c>
      <c r="V384" t="s">
        <v>29</v>
      </c>
      <c r="W384" t="s">
        <v>30</v>
      </c>
      <c r="X384">
        <v>8</v>
      </c>
      <c r="Y384">
        <v>8</v>
      </c>
      <c r="Z384" t="s">
        <v>68</v>
      </c>
    </row>
    <row r="385" spans="1:26">
      <c r="A385" t="s">
        <v>442</v>
      </c>
      <c r="B385">
        <v>25</v>
      </c>
      <c r="C385" t="str">
        <f t="shared" si="25"/>
        <v>18-35</v>
      </c>
      <c r="D385" t="s">
        <v>41</v>
      </c>
      <c r="E385" s="2">
        <v>45459</v>
      </c>
      <c r="F385" s="2" t="str">
        <f t="shared" ca="1" si="26"/>
        <v>No</v>
      </c>
      <c r="G385" s="2" t="str">
        <f t="shared" si="27"/>
        <v>Jun-2024</v>
      </c>
      <c r="H385" s="2">
        <v>45473</v>
      </c>
      <c r="I385">
        <v>14</v>
      </c>
      <c r="J385" t="s">
        <v>23</v>
      </c>
      <c r="K385">
        <v>2</v>
      </c>
      <c r="L385" t="s">
        <v>66</v>
      </c>
      <c r="M385" s="9">
        <v>43379</v>
      </c>
      <c r="N385" t="s">
        <v>53</v>
      </c>
      <c r="O385" t="s">
        <v>26</v>
      </c>
      <c r="P385" t="s">
        <v>41</v>
      </c>
      <c r="Q385" s="2">
        <v>45457</v>
      </c>
      <c r="R385" s="13">
        <f t="shared" si="28"/>
        <v>2700</v>
      </c>
      <c r="S385" s="13">
        <f t="shared" si="29"/>
        <v>-4200.2404809617137</v>
      </c>
      <c r="T385" s="2">
        <v>45458.875</v>
      </c>
      <c r="U385" t="s">
        <v>37</v>
      </c>
      <c r="V385" t="s">
        <v>38</v>
      </c>
      <c r="W385" t="s">
        <v>47</v>
      </c>
      <c r="X385">
        <v>7</v>
      </c>
      <c r="Y385">
        <v>8</v>
      </c>
      <c r="Z385" t="s">
        <v>68</v>
      </c>
    </row>
    <row r="386" spans="1:26">
      <c r="A386" t="s">
        <v>443</v>
      </c>
      <c r="B386">
        <v>58</v>
      </c>
      <c r="C386" t="str">
        <f t="shared" si="25"/>
        <v>51-65</v>
      </c>
      <c r="D386" t="s">
        <v>22</v>
      </c>
      <c r="E386" s="2">
        <v>45128</v>
      </c>
      <c r="F386" s="2" t="str">
        <f t="shared" ca="1" si="26"/>
        <v>No</v>
      </c>
      <c r="G386" s="2" t="str">
        <f t="shared" si="27"/>
        <v>Jul-2023</v>
      </c>
      <c r="H386" s="2">
        <v>44934</v>
      </c>
      <c r="I386">
        <v>11</v>
      </c>
      <c r="J386" t="s">
        <v>50</v>
      </c>
      <c r="K386">
        <v>2</v>
      </c>
      <c r="L386" t="s">
        <v>71</v>
      </c>
      <c r="M386" s="9">
        <v>17516</v>
      </c>
      <c r="N386" t="s">
        <v>36</v>
      </c>
      <c r="O386" t="s">
        <v>26</v>
      </c>
      <c r="P386" t="s">
        <v>27</v>
      </c>
      <c r="Q386" s="2">
        <v>45123</v>
      </c>
      <c r="R386" s="13">
        <f t="shared" si="28"/>
        <v>2520</v>
      </c>
      <c r="S386" s="13">
        <f t="shared" si="29"/>
        <v>-4114.1482965929681</v>
      </c>
      <c r="T386" s="2">
        <v>45124.75</v>
      </c>
      <c r="U386" t="s">
        <v>55</v>
      </c>
      <c r="V386" t="s">
        <v>29</v>
      </c>
      <c r="W386" t="s">
        <v>43</v>
      </c>
      <c r="X386">
        <v>4</v>
      </c>
      <c r="Y386">
        <v>10</v>
      </c>
      <c r="Z386" t="s">
        <v>31</v>
      </c>
    </row>
    <row r="387" spans="1:26">
      <c r="A387" t="s">
        <v>444</v>
      </c>
      <c r="B387">
        <v>63</v>
      </c>
      <c r="C387" t="str">
        <f t="shared" ref="C387:C450" si="30">IF(B387&lt;18,"0-17",IF(B387&lt;=35,"18-35",IF(B387&lt;=50,"36-50",IF(B387&lt;=65,"51-65","66+"))))</f>
        <v>51-65</v>
      </c>
      <c r="D387" t="s">
        <v>52</v>
      </c>
      <c r="E387" s="2">
        <v>45505</v>
      </c>
      <c r="F387" s="2" t="str">
        <f t="shared" ref="F387:F450" ca="1" si="31">IF(E387&gt;=EDATE(TODAY(),-12),"Yes","No")</f>
        <v>No</v>
      </c>
      <c r="G387" s="2" t="str">
        <f t="shared" ref="G387:G450" si="32">TEXT(E387,"mmm-yyyy")</f>
        <v>Aug-2024</v>
      </c>
      <c r="H387" s="2">
        <v>45312</v>
      </c>
      <c r="I387">
        <v>13</v>
      </c>
      <c r="J387" t="s">
        <v>57</v>
      </c>
      <c r="K387">
        <v>5</v>
      </c>
      <c r="L387" t="s">
        <v>66</v>
      </c>
      <c r="M387" s="9">
        <v>18886</v>
      </c>
      <c r="N387" t="s">
        <v>25</v>
      </c>
      <c r="O387" t="s">
        <v>54</v>
      </c>
      <c r="P387" t="s">
        <v>27</v>
      </c>
      <c r="Q387" s="2">
        <v>45352</v>
      </c>
      <c r="R387" s="13">
        <f t="shared" ref="R387:R450" si="33">(T387-Q387)*1440</f>
        <v>720</v>
      </c>
      <c r="S387" s="13">
        <f t="shared" ref="S387:S450" si="34">AVERAGE(R387:R885)</f>
        <v>-4030.1002004005836</v>
      </c>
      <c r="T387" s="2">
        <v>45352.5</v>
      </c>
      <c r="U387" t="s">
        <v>28</v>
      </c>
      <c r="V387" t="s">
        <v>29</v>
      </c>
      <c r="W387" t="s">
        <v>47</v>
      </c>
      <c r="X387">
        <v>7</v>
      </c>
      <c r="Y387">
        <v>10</v>
      </c>
      <c r="Z387" t="s">
        <v>68</v>
      </c>
    </row>
    <row r="388" spans="1:26">
      <c r="A388" t="s">
        <v>445</v>
      </c>
      <c r="B388">
        <v>62</v>
      </c>
      <c r="C388" t="str">
        <f t="shared" si="30"/>
        <v>51-65</v>
      </c>
      <c r="D388" t="s">
        <v>33</v>
      </c>
      <c r="E388" s="2">
        <v>45368</v>
      </c>
      <c r="F388" s="2" t="str">
        <f t="shared" ca="1" si="31"/>
        <v>No</v>
      </c>
      <c r="G388" s="2" t="str">
        <f t="shared" si="32"/>
        <v>Mar-2024</v>
      </c>
      <c r="H388" s="2">
        <v>45374</v>
      </c>
      <c r="I388">
        <v>6</v>
      </c>
      <c r="J388" t="s">
        <v>63</v>
      </c>
      <c r="K388">
        <v>4</v>
      </c>
      <c r="L388" t="s">
        <v>46</v>
      </c>
      <c r="M388" s="9">
        <v>25307</v>
      </c>
      <c r="N388" t="s">
        <v>36</v>
      </c>
      <c r="O388" t="s">
        <v>54</v>
      </c>
      <c r="P388" t="s">
        <v>27</v>
      </c>
      <c r="Q388" s="2">
        <v>45629</v>
      </c>
      <c r="R388" s="13">
        <f t="shared" si="33"/>
        <v>-380880</v>
      </c>
      <c r="S388" s="13">
        <f t="shared" si="34"/>
        <v>-4031.4228456911719</v>
      </c>
      <c r="T388" s="2">
        <v>45364.5</v>
      </c>
      <c r="U388" t="s">
        <v>42</v>
      </c>
      <c r="V388" t="s">
        <v>29</v>
      </c>
      <c r="W388" t="s">
        <v>47</v>
      </c>
      <c r="X388">
        <v>11</v>
      </c>
      <c r="Y388">
        <v>8</v>
      </c>
      <c r="Z388" t="s">
        <v>68</v>
      </c>
    </row>
    <row r="389" spans="1:26">
      <c r="A389" t="s">
        <v>446</v>
      </c>
      <c r="B389">
        <v>22</v>
      </c>
      <c r="C389" t="str">
        <f t="shared" si="30"/>
        <v>18-35</v>
      </c>
      <c r="D389" t="s">
        <v>45</v>
      </c>
      <c r="E389" s="2">
        <v>44998</v>
      </c>
      <c r="F389" s="2" t="str">
        <f t="shared" ca="1" si="31"/>
        <v>No</v>
      </c>
      <c r="G389" s="2" t="str">
        <f t="shared" si="32"/>
        <v>Mar-2023</v>
      </c>
      <c r="H389" s="2">
        <v>45000</v>
      </c>
      <c r="I389">
        <v>2</v>
      </c>
      <c r="J389" t="s">
        <v>50</v>
      </c>
      <c r="K389">
        <v>4</v>
      </c>
      <c r="L389" t="s">
        <v>24</v>
      </c>
      <c r="M389" s="9">
        <v>29843</v>
      </c>
      <c r="N389" t="s">
        <v>36</v>
      </c>
      <c r="O389" t="s">
        <v>26</v>
      </c>
      <c r="P389" t="s">
        <v>27</v>
      </c>
      <c r="Q389" s="2">
        <v>45141</v>
      </c>
      <c r="R389" s="13">
        <f t="shared" si="33"/>
        <v>660.00000000349246</v>
      </c>
      <c r="S389" s="13">
        <f t="shared" si="34"/>
        <v>-3265.4909819637251</v>
      </c>
      <c r="T389" s="2">
        <v>45141.458333333336</v>
      </c>
      <c r="U389" t="s">
        <v>37</v>
      </c>
      <c r="V389" t="s">
        <v>29</v>
      </c>
      <c r="W389" t="s">
        <v>30</v>
      </c>
      <c r="X389">
        <v>10</v>
      </c>
      <c r="Y389">
        <v>12</v>
      </c>
      <c r="Z389" t="s">
        <v>48</v>
      </c>
    </row>
    <row r="390" spans="1:26">
      <c r="A390" t="s">
        <v>447</v>
      </c>
      <c r="B390">
        <v>58</v>
      </c>
      <c r="C390" t="str">
        <f t="shared" si="30"/>
        <v>51-65</v>
      </c>
      <c r="D390" t="s">
        <v>41</v>
      </c>
      <c r="E390" s="2">
        <v>45058</v>
      </c>
      <c r="F390" s="2" t="str">
        <f t="shared" ca="1" si="31"/>
        <v>No</v>
      </c>
      <c r="G390" s="2" t="str">
        <f t="shared" si="32"/>
        <v>May-2023</v>
      </c>
      <c r="H390" s="2">
        <v>45272</v>
      </c>
      <c r="I390">
        <v>7</v>
      </c>
      <c r="J390" t="s">
        <v>50</v>
      </c>
      <c r="K390">
        <v>5</v>
      </c>
      <c r="L390" t="s">
        <v>46</v>
      </c>
      <c r="M390" s="9">
        <v>10912</v>
      </c>
      <c r="N390" t="s">
        <v>25</v>
      </c>
      <c r="O390" t="s">
        <v>54</v>
      </c>
      <c r="P390" t="s">
        <v>41</v>
      </c>
      <c r="Q390" s="2">
        <v>45260</v>
      </c>
      <c r="R390" s="13">
        <f t="shared" si="33"/>
        <v>-463199.99999999651</v>
      </c>
      <c r="S390" s="13">
        <f t="shared" si="34"/>
        <v>-3266.6933867733583</v>
      </c>
      <c r="T390" s="2">
        <v>44938.333333333336</v>
      </c>
      <c r="U390" t="s">
        <v>42</v>
      </c>
      <c r="V390" t="s">
        <v>29</v>
      </c>
      <c r="W390" t="s">
        <v>47</v>
      </c>
      <c r="X390">
        <v>10</v>
      </c>
      <c r="Y390">
        <v>10</v>
      </c>
      <c r="Z390" t="s">
        <v>48</v>
      </c>
    </row>
    <row r="391" spans="1:26">
      <c r="A391" t="s">
        <v>448</v>
      </c>
      <c r="B391">
        <v>58</v>
      </c>
      <c r="C391" t="str">
        <f t="shared" si="30"/>
        <v>51-65</v>
      </c>
      <c r="D391" t="s">
        <v>45</v>
      </c>
      <c r="E391" s="2">
        <v>45248</v>
      </c>
      <c r="F391" s="2" t="str">
        <f t="shared" ca="1" si="31"/>
        <v>No</v>
      </c>
      <c r="G391" s="2" t="str">
        <f t="shared" si="32"/>
        <v>Nov-2023</v>
      </c>
      <c r="H391" s="2">
        <v>44969</v>
      </c>
      <c r="I391">
        <v>14</v>
      </c>
      <c r="J391" t="s">
        <v>57</v>
      </c>
      <c r="K391">
        <v>5</v>
      </c>
      <c r="L391" t="s">
        <v>66</v>
      </c>
      <c r="M391" s="9">
        <v>26514</v>
      </c>
      <c r="N391" t="s">
        <v>36</v>
      </c>
      <c r="O391" t="s">
        <v>54</v>
      </c>
      <c r="P391" t="s">
        <v>27</v>
      </c>
      <c r="Q391" s="2">
        <v>45246</v>
      </c>
      <c r="R391" s="13">
        <f t="shared" si="33"/>
        <v>1139.9999999965075</v>
      </c>
      <c r="S391" s="13">
        <f t="shared" si="34"/>
        <v>-2255.3507014026304</v>
      </c>
      <c r="T391" s="2">
        <v>45246.791666666664</v>
      </c>
      <c r="U391" t="s">
        <v>42</v>
      </c>
      <c r="V391" t="s">
        <v>29</v>
      </c>
      <c r="W391" t="s">
        <v>30</v>
      </c>
      <c r="X391">
        <v>9</v>
      </c>
      <c r="Y391">
        <v>10</v>
      </c>
      <c r="Z391" t="s">
        <v>68</v>
      </c>
    </row>
    <row r="392" spans="1:26">
      <c r="A392" t="s">
        <v>449</v>
      </c>
      <c r="B392">
        <v>86</v>
      </c>
      <c r="C392" t="str">
        <f t="shared" si="30"/>
        <v>66+</v>
      </c>
      <c r="D392" t="s">
        <v>22</v>
      </c>
      <c r="E392" s="2">
        <v>45143</v>
      </c>
      <c r="F392" s="2" t="str">
        <f t="shared" ca="1" si="31"/>
        <v>No</v>
      </c>
      <c r="G392" s="2" t="str">
        <f t="shared" si="32"/>
        <v>Aug-2023</v>
      </c>
      <c r="H392" s="2">
        <v>45066</v>
      </c>
      <c r="I392">
        <v>12</v>
      </c>
      <c r="J392" t="s">
        <v>63</v>
      </c>
      <c r="K392">
        <v>1</v>
      </c>
      <c r="L392" t="s">
        <v>24</v>
      </c>
      <c r="M392" s="9">
        <v>26823</v>
      </c>
      <c r="N392" t="s">
        <v>53</v>
      </c>
      <c r="O392" t="s">
        <v>54</v>
      </c>
      <c r="P392" t="s">
        <v>27</v>
      </c>
      <c r="Q392" s="2">
        <v>45021</v>
      </c>
      <c r="R392" s="13">
        <f t="shared" si="33"/>
        <v>540</v>
      </c>
      <c r="S392" s="13">
        <f t="shared" si="34"/>
        <v>-2254.629258516859</v>
      </c>
      <c r="T392" s="2">
        <v>45021.375</v>
      </c>
      <c r="U392" t="s">
        <v>37</v>
      </c>
      <c r="V392" t="s">
        <v>29</v>
      </c>
      <c r="W392" t="s">
        <v>47</v>
      </c>
      <c r="X392">
        <v>7</v>
      </c>
      <c r="Y392">
        <v>8</v>
      </c>
      <c r="Z392" t="s">
        <v>68</v>
      </c>
    </row>
    <row r="393" spans="1:26">
      <c r="A393" t="s">
        <v>450</v>
      </c>
      <c r="B393">
        <v>49</v>
      </c>
      <c r="C393" t="str">
        <f t="shared" si="30"/>
        <v>36-50</v>
      </c>
      <c r="D393" t="s">
        <v>33</v>
      </c>
      <c r="E393" s="2">
        <v>45027</v>
      </c>
      <c r="F393" s="2" t="str">
        <f t="shared" ca="1" si="31"/>
        <v>No</v>
      </c>
      <c r="G393" s="2" t="str">
        <f t="shared" si="32"/>
        <v>Apr-2023</v>
      </c>
      <c r="H393" s="2">
        <v>45057</v>
      </c>
      <c r="I393">
        <v>1</v>
      </c>
      <c r="J393" t="s">
        <v>50</v>
      </c>
      <c r="K393">
        <v>5</v>
      </c>
      <c r="L393" t="s">
        <v>35</v>
      </c>
      <c r="M393" s="9">
        <v>33797</v>
      </c>
      <c r="N393" t="s">
        <v>36</v>
      </c>
      <c r="O393" t="s">
        <v>54</v>
      </c>
      <c r="P393" t="s">
        <v>27</v>
      </c>
      <c r="Q393" s="2">
        <v>44937</v>
      </c>
      <c r="R393" s="13">
        <f t="shared" si="33"/>
        <v>720</v>
      </c>
      <c r="S393" s="13">
        <f t="shared" si="34"/>
        <v>-2079.6793587172597</v>
      </c>
      <c r="T393" s="2">
        <v>44937.5</v>
      </c>
      <c r="U393" t="s">
        <v>55</v>
      </c>
      <c r="V393" t="s">
        <v>29</v>
      </c>
      <c r="W393" t="s">
        <v>47</v>
      </c>
      <c r="X393">
        <v>6</v>
      </c>
      <c r="Y393">
        <v>12</v>
      </c>
      <c r="Z393" t="s">
        <v>31</v>
      </c>
    </row>
    <row r="394" spans="1:26">
      <c r="A394" t="s">
        <v>451</v>
      </c>
      <c r="B394">
        <v>52</v>
      </c>
      <c r="C394" t="str">
        <f t="shared" si="30"/>
        <v>51-65</v>
      </c>
      <c r="D394" t="s">
        <v>41</v>
      </c>
      <c r="E394" s="2">
        <v>45357</v>
      </c>
      <c r="F394" s="2" t="str">
        <f t="shared" ca="1" si="31"/>
        <v>No</v>
      </c>
      <c r="G394" s="2" t="str">
        <f t="shared" si="32"/>
        <v>Mar-2024</v>
      </c>
      <c r="H394" s="2">
        <v>45571</v>
      </c>
      <c r="I394">
        <v>7</v>
      </c>
      <c r="J394" t="s">
        <v>50</v>
      </c>
      <c r="K394">
        <v>4</v>
      </c>
      <c r="L394" t="s">
        <v>35</v>
      </c>
      <c r="M394" s="9">
        <v>11449</v>
      </c>
      <c r="N394" t="s">
        <v>25</v>
      </c>
      <c r="O394" t="s">
        <v>54</v>
      </c>
      <c r="P394" t="s">
        <v>27</v>
      </c>
      <c r="Q394" s="2">
        <v>45328</v>
      </c>
      <c r="R394" s="13">
        <f t="shared" si="33"/>
        <v>1260</v>
      </c>
      <c r="S394" s="13">
        <f t="shared" si="34"/>
        <v>-1991.7835671340865</v>
      </c>
      <c r="T394" s="2">
        <v>45328.875</v>
      </c>
      <c r="U394" t="s">
        <v>55</v>
      </c>
      <c r="V394" t="s">
        <v>29</v>
      </c>
      <c r="W394" t="s">
        <v>47</v>
      </c>
      <c r="X394">
        <v>11</v>
      </c>
      <c r="Y394">
        <v>8</v>
      </c>
      <c r="Z394" t="s">
        <v>68</v>
      </c>
    </row>
    <row r="395" spans="1:26">
      <c r="A395" t="s">
        <v>452</v>
      </c>
      <c r="B395">
        <v>42</v>
      </c>
      <c r="C395" t="str">
        <f t="shared" si="30"/>
        <v>36-50</v>
      </c>
      <c r="D395" t="s">
        <v>45</v>
      </c>
      <c r="E395" s="2">
        <v>45243</v>
      </c>
      <c r="F395" s="2" t="str">
        <f t="shared" ca="1" si="31"/>
        <v>No</v>
      </c>
      <c r="G395" s="2" t="str">
        <f t="shared" si="32"/>
        <v>Nov-2023</v>
      </c>
      <c r="H395" s="2">
        <v>45244</v>
      </c>
      <c r="I395">
        <v>1</v>
      </c>
      <c r="J395" t="s">
        <v>63</v>
      </c>
      <c r="K395">
        <v>5</v>
      </c>
      <c r="L395" t="s">
        <v>71</v>
      </c>
      <c r="M395" s="9">
        <v>6725</v>
      </c>
      <c r="N395" t="s">
        <v>60</v>
      </c>
      <c r="O395" t="s">
        <v>26</v>
      </c>
      <c r="P395" t="s">
        <v>27</v>
      </c>
      <c r="Q395" s="2">
        <v>45271</v>
      </c>
      <c r="R395" s="13">
        <f t="shared" si="33"/>
        <v>-40019.999999996508</v>
      </c>
      <c r="S395" s="13">
        <f t="shared" si="34"/>
        <v>-1991.9038076150414</v>
      </c>
      <c r="T395" s="2">
        <v>45243.208333333336</v>
      </c>
      <c r="U395" t="s">
        <v>55</v>
      </c>
      <c r="V395" t="s">
        <v>29</v>
      </c>
      <c r="W395" t="s">
        <v>47</v>
      </c>
      <c r="X395">
        <v>5</v>
      </c>
      <c r="Y395">
        <v>8</v>
      </c>
      <c r="Z395" t="s">
        <v>48</v>
      </c>
    </row>
    <row r="396" spans="1:26">
      <c r="A396" t="s">
        <v>453</v>
      </c>
      <c r="B396">
        <v>70</v>
      </c>
      <c r="C396" t="str">
        <f t="shared" si="30"/>
        <v>66+</v>
      </c>
      <c r="D396" t="s">
        <v>52</v>
      </c>
      <c r="E396" s="2">
        <v>45345</v>
      </c>
      <c r="F396" s="2" t="str">
        <f t="shared" ca="1" si="31"/>
        <v>No</v>
      </c>
      <c r="G396" s="2" t="str">
        <f t="shared" si="32"/>
        <v>Feb-2024</v>
      </c>
      <c r="H396" s="2">
        <v>45325</v>
      </c>
      <c r="I396">
        <v>8</v>
      </c>
      <c r="J396" t="s">
        <v>34</v>
      </c>
      <c r="K396">
        <v>1</v>
      </c>
      <c r="L396" t="s">
        <v>66</v>
      </c>
      <c r="M396" s="9">
        <v>20870</v>
      </c>
      <c r="N396" t="s">
        <v>36</v>
      </c>
      <c r="O396" t="s">
        <v>54</v>
      </c>
      <c r="P396" t="s">
        <v>27</v>
      </c>
      <c r="Q396" s="2">
        <v>45343</v>
      </c>
      <c r="R396" s="13">
        <f t="shared" si="33"/>
        <v>2399.9999999965075</v>
      </c>
      <c r="S396" s="13">
        <f t="shared" si="34"/>
        <v>-1910.8617234467188</v>
      </c>
      <c r="T396" s="2">
        <v>45344.666666666664</v>
      </c>
      <c r="U396" t="s">
        <v>64</v>
      </c>
      <c r="V396" t="s">
        <v>29</v>
      </c>
      <c r="W396" t="s">
        <v>47</v>
      </c>
      <c r="X396">
        <v>11</v>
      </c>
      <c r="Y396">
        <v>12</v>
      </c>
      <c r="Z396" t="s">
        <v>68</v>
      </c>
    </row>
    <row r="397" spans="1:26">
      <c r="A397" t="s">
        <v>454</v>
      </c>
      <c r="B397">
        <v>15</v>
      </c>
      <c r="C397" t="str">
        <f t="shared" si="30"/>
        <v>0-17</v>
      </c>
      <c r="D397" t="s">
        <v>22</v>
      </c>
      <c r="E397" s="2">
        <v>44938</v>
      </c>
      <c r="F397" s="2" t="str">
        <f t="shared" ca="1" si="31"/>
        <v>No</v>
      </c>
      <c r="G397" s="2" t="str">
        <f t="shared" si="32"/>
        <v>Jan-2023</v>
      </c>
      <c r="H397" s="2">
        <v>45276</v>
      </c>
      <c r="I397">
        <v>15</v>
      </c>
      <c r="J397" t="s">
        <v>50</v>
      </c>
      <c r="K397">
        <v>1</v>
      </c>
      <c r="L397" t="s">
        <v>66</v>
      </c>
      <c r="M397" s="9">
        <v>14304</v>
      </c>
      <c r="N397" t="s">
        <v>67</v>
      </c>
      <c r="O397" t="s">
        <v>54</v>
      </c>
      <c r="P397" t="s">
        <v>27</v>
      </c>
      <c r="Q397" s="2">
        <v>45257</v>
      </c>
      <c r="R397" s="13">
        <f t="shared" si="33"/>
        <v>239.99999999650754</v>
      </c>
      <c r="S397" s="13">
        <f t="shared" si="34"/>
        <v>-1913.9879759517148</v>
      </c>
      <c r="T397" s="2">
        <v>45257.166666666664</v>
      </c>
      <c r="U397" t="s">
        <v>55</v>
      </c>
      <c r="V397" t="s">
        <v>29</v>
      </c>
      <c r="W397" t="s">
        <v>47</v>
      </c>
      <c r="X397">
        <v>9</v>
      </c>
      <c r="Y397">
        <v>12</v>
      </c>
      <c r="Z397" t="s">
        <v>31</v>
      </c>
    </row>
    <row r="398" spans="1:26">
      <c r="A398" t="s">
        <v>455</v>
      </c>
      <c r="B398">
        <v>54</v>
      </c>
      <c r="C398" t="str">
        <f t="shared" si="30"/>
        <v>51-65</v>
      </c>
      <c r="D398" t="s">
        <v>33</v>
      </c>
      <c r="E398" s="2">
        <v>45339</v>
      </c>
      <c r="F398" s="2" t="str">
        <f t="shared" ca="1" si="31"/>
        <v>No</v>
      </c>
      <c r="G398" s="2" t="str">
        <f t="shared" si="32"/>
        <v>Feb-2024</v>
      </c>
      <c r="H398" s="2">
        <v>45341</v>
      </c>
      <c r="I398">
        <v>2</v>
      </c>
      <c r="J398" t="s">
        <v>40</v>
      </c>
      <c r="K398">
        <v>1</v>
      </c>
      <c r="L398" t="s">
        <v>35</v>
      </c>
      <c r="M398" s="9">
        <v>12522</v>
      </c>
      <c r="N398" t="s">
        <v>53</v>
      </c>
      <c r="O398" t="s">
        <v>54</v>
      </c>
      <c r="P398" t="s">
        <v>27</v>
      </c>
      <c r="Q398" s="2">
        <v>45337</v>
      </c>
      <c r="R398" s="13">
        <f t="shared" si="33"/>
        <v>1380.0000000034925</v>
      </c>
      <c r="S398" s="13">
        <f t="shared" si="34"/>
        <v>-1910.380761522857</v>
      </c>
      <c r="T398" s="2">
        <v>45337.958333333336</v>
      </c>
      <c r="U398" t="s">
        <v>37</v>
      </c>
      <c r="V398" t="s">
        <v>29</v>
      </c>
      <c r="W398" t="s">
        <v>30</v>
      </c>
      <c r="X398">
        <v>9</v>
      </c>
      <c r="Y398">
        <v>12</v>
      </c>
      <c r="Z398" t="s">
        <v>48</v>
      </c>
    </row>
    <row r="399" spans="1:26">
      <c r="A399" t="s">
        <v>456</v>
      </c>
      <c r="B399">
        <v>60</v>
      </c>
      <c r="C399" t="str">
        <f t="shared" si="30"/>
        <v>51-65</v>
      </c>
      <c r="D399" t="s">
        <v>22</v>
      </c>
      <c r="E399" s="2">
        <v>45229</v>
      </c>
      <c r="F399" s="2" t="str">
        <f t="shared" ca="1" si="31"/>
        <v>No</v>
      </c>
      <c r="G399" s="2" t="str">
        <f t="shared" si="32"/>
        <v>Oct-2023</v>
      </c>
      <c r="H399" s="2">
        <v>45243</v>
      </c>
      <c r="I399">
        <v>14</v>
      </c>
      <c r="J399" t="s">
        <v>63</v>
      </c>
      <c r="K399">
        <v>1</v>
      </c>
      <c r="L399" t="s">
        <v>46</v>
      </c>
      <c r="M399" s="9">
        <v>18663</v>
      </c>
      <c r="N399" t="s">
        <v>53</v>
      </c>
      <c r="O399" t="s">
        <v>54</v>
      </c>
      <c r="P399" t="s">
        <v>41</v>
      </c>
      <c r="Q399" s="2">
        <v>45228</v>
      </c>
      <c r="R399" s="13">
        <f t="shared" si="33"/>
        <v>59.99999999650754</v>
      </c>
      <c r="S399" s="13">
        <f t="shared" si="34"/>
        <v>-1911.2224448896045</v>
      </c>
      <c r="T399" s="2">
        <v>45228.041666666664</v>
      </c>
      <c r="U399" t="s">
        <v>64</v>
      </c>
      <c r="V399" t="s">
        <v>38</v>
      </c>
      <c r="W399" t="s">
        <v>30</v>
      </c>
      <c r="X399">
        <v>9</v>
      </c>
      <c r="Y399">
        <v>10</v>
      </c>
      <c r="Z399" t="s">
        <v>48</v>
      </c>
    </row>
    <row r="400" spans="1:26">
      <c r="A400" t="s">
        <v>457</v>
      </c>
      <c r="B400">
        <v>8</v>
      </c>
      <c r="C400" t="str">
        <f t="shared" si="30"/>
        <v>0-17</v>
      </c>
      <c r="D400" t="s">
        <v>52</v>
      </c>
      <c r="E400" s="2">
        <v>45235</v>
      </c>
      <c r="F400" s="2" t="str">
        <f t="shared" ca="1" si="31"/>
        <v>No</v>
      </c>
      <c r="G400" s="2" t="str">
        <f t="shared" si="32"/>
        <v>Nov-2023</v>
      </c>
      <c r="H400" s="2">
        <v>45063</v>
      </c>
      <c r="I400">
        <v>6</v>
      </c>
      <c r="J400" t="s">
        <v>50</v>
      </c>
      <c r="K400">
        <v>3</v>
      </c>
      <c r="L400" t="s">
        <v>24</v>
      </c>
      <c r="M400" s="9">
        <v>9784</v>
      </c>
      <c r="N400" t="s">
        <v>67</v>
      </c>
      <c r="O400" t="s">
        <v>26</v>
      </c>
      <c r="P400" t="s">
        <v>41</v>
      </c>
      <c r="Q400" s="2">
        <v>45174</v>
      </c>
      <c r="R400" s="13">
        <f t="shared" si="33"/>
        <v>43680.000000003492</v>
      </c>
      <c r="S400" s="13">
        <f t="shared" si="34"/>
        <v>-1908.0961923845875</v>
      </c>
      <c r="T400" s="2">
        <v>45204.333333333336</v>
      </c>
      <c r="U400" t="s">
        <v>55</v>
      </c>
      <c r="V400" t="s">
        <v>29</v>
      </c>
      <c r="W400" t="s">
        <v>43</v>
      </c>
      <c r="X400">
        <v>10</v>
      </c>
      <c r="Y400">
        <v>8</v>
      </c>
      <c r="Z400" t="s">
        <v>48</v>
      </c>
    </row>
    <row r="401" spans="1:26">
      <c r="A401" t="s">
        <v>458</v>
      </c>
      <c r="B401">
        <v>53</v>
      </c>
      <c r="C401" t="str">
        <f t="shared" si="30"/>
        <v>51-65</v>
      </c>
      <c r="D401" t="s">
        <v>33</v>
      </c>
      <c r="E401" s="2">
        <v>45123</v>
      </c>
      <c r="F401" s="2" t="str">
        <f t="shared" ca="1" si="31"/>
        <v>No</v>
      </c>
      <c r="G401" s="2" t="str">
        <f t="shared" si="32"/>
        <v>Jul-2023</v>
      </c>
      <c r="H401" s="2">
        <v>45133</v>
      </c>
      <c r="I401">
        <v>10</v>
      </c>
      <c r="J401" t="s">
        <v>57</v>
      </c>
      <c r="K401">
        <v>5</v>
      </c>
      <c r="L401" t="s">
        <v>46</v>
      </c>
      <c r="M401" s="9">
        <v>14472</v>
      </c>
      <c r="N401" t="s">
        <v>67</v>
      </c>
      <c r="O401" t="s">
        <v>54</v>
      </c>
      <c r="P401" t="s">
        <v>27</v>
      </c>
      <c r="Q401" s="2">
        <v>45121</v>
      </c>
      <c r="R401" s="13">
        <f t="shared" si="33"/>
        <v>540</v>
      </c>
      <c r="S401" s="13">
        <f t="shared" si="34"/>
        <v>-1991.7835671340865</v>
      </c>
      <c r="T401" s="2">
        <v>45121.375</v>
      </c>
      <c r="U401" t="s">
        <v>64</v>
      </c>
      <c r="V401" t="s">
        <v>29</v>
      </c>
      <c r="W401" t="s">
        <v>47</v>
      </c>
      <c r="X401">
        <v>4</v>
      </c>
      <c r="Y401">
        <v>10</v>
      </c>
      <c r="Z401" t="s">
        <v>48</v>
      </c>
    </row>
    <row r="402" spans="1:26">
      <c r="A402" t="s">
        <v>459</v>
      </c>
      <c r="B402">
        <v>60</v>
      </c>
      <c r="C402" t="str">
        <f t="shared" si="30"/>
        <v>51-65</v>
      </c>
      <c r="D402" t="s">
        <v>22</v>
      </c>
      <c r="E402" s="2">
        <v>45446</v>
      </c>
      <c r="F402" s="2" t="str">
        <f t="shared" ca="1" si="31"/>
        <v>No</v>
      </c>
      <c r="G402" s="2" t="str">
        <f t="shared" si="32"/>
        <v>Jun-2024</v>
      </c>
      <c r="H402" s="2">
        <v>45364</v>
      </c>
      <c r="I402">
        <v>7</v>
      </c>
      <c r="J402" t="s">
        <v>23</v>
      </c>
      <c r="K402">
        <v>2</v>
      </c>
      <c r="L402" t="s">
        <v>46</v>
      </c>
      <c r="M402" s="9">
        <v>33952</v>
      </c>
      <c r="N402" t="s">
        <v>36</v>
      </c>
      <c r="O402" t="s">
        <v>26</v>
      </c>
      <c r="P402" t="s">
        <v>41</v>
      </c>
      <c r="Q402" s="2">
        <v>45294</v>
      </c>
      <c r="R402" s="13">
        <f t="shared" si="33"/>
        <v>779.99999999650754</v>
      </c>
      <c r="S402" s="13">
        <f t="shared" si="34"/>
        <v>-1992.3847695389031</v>
      </c>
      <c r="T402" s="2">
        <v>45294.541666666664</v>
      </c>
      <c r="U402" t="s">
        <v>37</v>
      </c>
      <c r="V402" t="s">
        <v>29</v>
      </c>
      <c r="W402" t="s">
        <v>30</v>
      </c>
      <c r="X402">
        <v>8</v>
      </c>
      <c r="Y402">
        <v>12</v>
      </c>
      <c r="Z402" t="s">
        <v>68</v>
      </c>
    </row>
    <row r="403" spans="1:26">
      <c r="A403" t="s">
        <v>460</v>
      </c>
      <c r="B403">
        <v>5</v>
      </c>
      <c r="C403" t="str">
        <f t="shared" si="30"/>
        <v>0-17</v>
      </c>
      <c r="D403" t="s">
        <v>62</v>
      </c>
      <c r="E403" s="2">
        <v>45315</v>
      </c>
      <c r="F403" s="2" t="str">
        <f t="shared" ca="1" si="31"/>
        <v>No</v>
      </c>
      <c r="G403" s="2" t="str">
        <f t="shared" si="32"/>
        <v>Jan-2024</v>
      </c>
      <c r="H403" s="2">
        <v>45353</v>
      </c>
      <c r="I403">
        <v>10</v>
      </c>
      <c r="J403" t="s">
        <v>40</v>
      </c>
      <c r="K403">
        <v>5</v>
      </c>
      <c r="L403" t="s">
        <v>35</v>
      </c>
      <c r="M403" s="9">
        <v>15055</v>
      </c>
      <c r="N403" t="s">
        <v>67</v>
      </c>
      <c r="O403" t="s">
        <v>54</v>
      </c>
      <c r="P403" t="s">
        <v>41</v>
      </c>
      <c r="Q403" s="2">
        <v>45314</v>
      </c>
      <c r="R403" s="13">
        <f t="shared" si="33"/>
        <v>1499.9999999965075</v>
      </c>
      <c r="S403" s="13">
        <f t="shared" si="34"/>
        <v>-1992.7454909817889</v>
      </c>
      <c r="T403" s="2">
        <v>45315.041666666664</v>
      </c>
      <c r="U403" t="s">
        <v>55</v>
      </c>
      <c r="V403" t="s">
        <v>29</v>
      </c>
      <c r="W403" t="s">
        <v>47</v>
      </c>
      <c r="X403">
        <v>6</v>
      </c>
      <c r="Y403">
        <v>10</v>
      </c>
      <c r="Z403" t="s">
        <v>31</v>
      </c>
    </row>
    <row r="404" spans="1:26">
      <c r="A404" t="s">
        <v>461</v>
      </c>
      <c r="B404">
        <v>68</v>
      </c>
      <c r="C404" t="str">
        <f t="shared" si="30"/>
        <v>66+</v>
      </c>
      <c r="D404" t="s">
        <v>52</v>
      </c>
      <c r="E404" s="2">
        <v>45105</v>
      </c>
      <c r="F404" s="2" t="str">
        <f t="shared" ca="1" si="31"/>
        <v>No</v>
      </c>
      <c r="G404" s="2" t="str">
        <f t="shared" si="32"/>
        <v>Jun-2023</v>
      </c>
      <c r="H404" s="2">
        <v>45053</v>
      </c>
      <c r="I404">
        <v>7</v>
      </c>
      <c r="J404" t="s">
        <v>23</v>
      </c>
      <c r="K404">
        <v>3</v>
      </c>
      <c r="L404" t="s">
        <v>35</v>
      </c>
      <c r="M404" s="9">
        <v>34508</v>
      </c>
      <c r="N404" t="s">
        <v>60</v>
      </c>
      <c r="O404" t="s">
        <v>54</v>
      </c>
      <c r="P404" t="s">
        <v>27</v>
      </c>
      <c r="Q404" s="2">
        <v>45100</v>
      </c>
      <c r="R404" s="13">
        <f t="shared" si="33"/>
        <v>2160</v>
      </c>
      <c r="S404" s="13">
        <f t="shared" si="34"/>
        <v>-1990.2204408815885</v>
      </c>
      <c r="T404" s="2">
        <v>45101.5</v>
      </c>
      <c r="U404" t="s">
        <v>28</v>
      </c>
      <c r="V404" t="s">
        <v>29</v>
      </c>
      <c r="W404" t="s">
        <v>47</v>
      </c>
      <c r="X404">
        <v>11</v>
      </c>
      <c r="Y404">
        <v>12</v>
      </c>
      <c r="Z404" t="s">
        <v>68</v>
      </c>
    </row>
    <row r="405" spans="1:26">
      <c r="A405" t="s">
        <v>462</v>
      </c>
      <c r="B405">
        <v>6</v>
      </c>
      <c r="C405" t="str">
        <f t="shared" si="30"/>
        <v>0-17</v>
      </c>
      <c r="D405" t="s">
        <v>52</v>
      </c>
      <c r="E405" s="2">
        <v>45057</v>
      </c>
      <c r="F405" s="2" t="str">
        <f t="shared" ca="1" si="31"/>
        <v>No</v>
      </c>
      <c r="G405" s="2" t="str">
        <f t="shared" si="32"/>
        <v>May-2023</v>
      </c>
      <c r="H405" s="2">
        <v>45247</v>
      </c>
      <c r="I405">
        <v>12</v>
      </c>
      <c r="J405" t="s">
        <v>23</v>
      </c>
      <c r="K405">
        <v>1</v>
      </c>
      <c r="L405" t="s">
        <v>35</v>
      </c>
      <c r="M405" s="9">
        <v>17676</v>
      </c>
      <c r="N405" t="s">
        <v>25</v>
      </c>
      <c r="O405" t="s">
        <v>26</v>
      </c>
      <c r="P405" t="s">
        <v>27</v>
      </c>
      <c r="Q405" s="2">
        <v>45230</v>
      </c>
      <c r="R405" s="13">
        <f t="shared" si="33"/>
        <v>-421380</v>
      </c>
      <c r="S405" s="13">
        <f t="shared" si="34"/>
        <v>-1992.3847695389031</v>
      </c>
      <c r="T405" s="2">
        <v>44937.375</v>
      </c>
      <c r="U405" t="s">
        <v>37</v>
      </c>
      <c r="V405" t="s">
        <v>29</v>
      </c>
      <c r="W405" t="s">
        <v>30</v>
      </c>
      <c r="X405">
        <v>10</v>
      </c>
      <c r="Y405">
        <v>12</v>
      </c>
      <c r="Z405" t="s">
        <v>68</v>
      </c>
    </row>
    <row r="406" spans="1:26">
      <c r="A406" t="s">
        <v>463</v>
      </c>
      <c r="B406">
        <v>47</v>
      </c>
      <c r="C406" t="str">
        <f t="shared" si="30"/>
        <v>36-50</v>
      </c>
      <c r="D406" t="s">
        <v>52</v>
      </c>
      <c r="E406" s="2">
        <v>45342</v>
      </c>
      <c r="F406" s="2" t="str">
        <f t="shared" ca="1" si="31"/>
        <v>No</v>
      </c>
      <c r="G406" s="2" t="str">
        <f t="shared" si="32"/>
        <v>Feb-2024</v>
      </c>
      <c r="H406" s="2">
        <v>45325</v>
      </c>
      <c r="I406">
        <v>11</v>
      </c>
      <c r="J406" t="s">
        <v>50</v>
      </c>
      <c r="K406">
        <v>3</v>
      </c>
      <c r="L406" t="s">
        <v>71</v>
      </c>
      <c r="M406" s="9">
        <v>30192</v>
      </c>
      <c r="N406" t="s">
        <v>67</v>
      </c>
      <c r="O406" t="s">
        <v>54</v>
      </c>
      <c r="P406" t="s">
        <v>27</v>
      </c>
      <c r="Q406" s="2">
        <v>45339</v>
      </c>
      <c r="R406" s="13">
        <f t="shared" si="33"/>
        <v>2520</v>
      </c>
      <c r="S406" s="13">
        <f t="shared" si="34"/>
        <v>-1147.2144288575405</v>
      </c>
      <c r="T406" s="2">
        <v>45340.75</v>
      </c>
      <c r="U406" t="s">
        <v>42</v>
      </c>
      <c r="V406" t="s">
        <v>29</v>
      </c>
      <c r="W406" t="s">
        <v>47</v>
      </c>
      <c r="X406">
        <v>11</v>
      </c>
      <c r="Y406">
        <v>8</v>
      </c>
      <c r="Z406" t="s">
        <v>48</v>
      </c>
    </row>
    <row r="407" spans="1:26">
      <c r="A407" t="s">
        <v>464</v>
      </c>
      <c r="B407">
        <v>55</v>
      </c>
      <c r="C407" t="str">
        <f t="shared" si="30"/>
        <v>51-65</v>
      </c>
      <c r="D407" t="s">
        <v>62</v>
      </c>
      <c r="E407" s="2">
        <v>44927</v>
      </c>
      <c r="F407" s="2" t="str">
        <f t="shared" ca="1" si="31"/>
        <v>No</v>
      </c>
      <c r="G407" s="2" t="str">
        <f t="shared" si="32"/>
        <v>Jan-2023</v>
      </c>
      <c r="H407" s="2">
        <v>45139</v>
      </c>
      <c r="I407">
        <v>7</v>
      </c>
      <c r="J407" t="s">
        <v>40</v>
      </c>
      <c r="K407">
        <v>4</v>
      </c>
      <c r="L407" t="s">
        <v>46</v>
      </c>
      <c r="M407" s="9">
        <v>29722</v>
      </c>
      <c r="N407" t="s">
        <v>67</v>
      </c>
      <c r="O407" t="s">
        <v>54</v>
      </c>
      <c r="P407" t="s">
        <v>41</v>
      </c>
      <c r="Q407" s="2">
        <v>44925</v>
      </c>
      <c r="R407" s="13">
        <f t="shared" si="33"/>
        <v>1920.0000000034925</v>
      </c>
      <c r="S407" s="13">
        <f t="shared" si="34"/>
        <v>-1151.9038076150555</v>
      </c>
      <c r="T407" s="2">
        <v>44926.333333333336</v>
      </c>
      <c r="U407" t="s">
        <v>42</v>
      </c>
      <c r="V407" t="s">
        <v>29</v>
      </c>
      <c r="W407" t="s">
        <v>30</v>
      </c>
      <c r="X407">
        <v>5</v>
      </c>
      <c r="Y407">
        <v>8</v>
      </c>
      <c r="Z407" t="s">
        <v>31</v>
      </c>
    </row>
    <row r="408" spans="1:26">
      <c r="A408" t="s">
        <v>465</v>
      </c>
      <c r="B408">
        <v>40</v>
      </c>
      <c r="C408" t="str">
        <f t="shared" si="30"/>
        <v>36-50</v>
      </c>
      <c r="D408" t="s">
        <v>62</v>
      </c>
      <c r="E408" s="2">
        <v>45149</v>
      </c>
      <c r="F408" s="2" t="str">
        <f t="shared" ca="1" si="31"/>
        <v>No</v>
      </c>
      <c r="G408" s="2" t="str">
        <f t="shared" si="32"/>
        <v>Aug-2023</v>
      </c>
      <c r="H408" s="2">
        <v>45243</v>
      </c>
      <c r="I408">
        <v>5</v>
      </c>
      <c r="J408" t="s">
        <v>40</v>
      </c>
      <c r="K408">
        <v>4</v>
      </c>
      <c r="L408" t="s">
        <v>66</v>
      </c>
      <c r="M408" s="9">
        <v>12446</v>
      </c>
      <c r="N408" t="s">
        <v>60</v>
      </c>
      <c r="O408" t="s">
        <v>26</v>
      </c>
      <c r="P408" t="s">
        <v>41</v>
      </c>
      <c r="Q408" s="2">
        <v>45057</v>
      </c>
      <c r="R408" s="13">
        <f t="shared" si="33"/>
        <v>44820</v>
      </c>
      <c r="S408" s="13">
        <f t="shared" si="34"/>
        <v>-1153.9478957914152</v>
      </c>
      <c r="T408" s="2">
        <v>45088.125</v>
      </c>
      <c r="U408" t="s">
        <v>37</v>
      </c>
      <c r="V408" t="s">
        <v>29</v>
      </c>
      <c r="W408" t="s">
        <v>30</v>
      </c>
      <c r="X408">
        <v>10</v>
      </c>
      <c r="Y408">
        <v>8</v>
      </c>
      <c r="Z408" t="s">
        <v>48</v>
      </c>
    </row>
    <row r="409" spans="1:26">
      <c r="A409" t="s">
        <v>466</v>
      </c>
      <c r="B409">
        <v>52</v>
      </c>
      <c r="C409" t="str">
        <f t="shared" si="30"/>
        <v>51-65</v>
      </c>
      <c r="D409" t="s">
        <v>45</v>
      </c>
      <c r="E409" s="2">
        <v>45220</v>
      </c>
      <c r="F409" s="2" t="str">
        <f t="shared" ca="1" si="31"/>
        <v>No</v>
      </c>
      <c r="G409" s="2" t="str">
        <f t="shared" si="32"/>
        <v>Oct-2023</v>
      </c>
      <c r="H409" s="2">
        <v>45222</v>
      </c>
      <c r="I409">
        <v>2</v>
      </c>
      <c r="J409" t="s">
        <v>34</v>
      </c>
      <c r="K409">
        <v>5</v>
      </c>
      <c r="L409" t="s">
        <v>24</v>
      </c>
      <c r="M409" s="9">
        <v>9725</v>
      </c>
      <c r="N409" t="s">
        <v>53</v>
      </c>
      <c r="O409" t="s">
        <v>54</v>
      </c>
      <c r="P409" t="s">
        <v>41</v>
      </c>
      <c r="Q409" s="2">
        <v>45218</v>
      </c>
      <c r="R409" s="13">
        <f t="shared" si="33"/>
        <v>2640.0000000034925</v>
      </c>
      <c r="S409" s="13">
        <f t="shared" si="34"/>
        <v>-1153.1062124246887</v>
      </c>
      <c r="T409" s="2">
        <v>45219.833333333336</v>
      </c>
      <c r="U409" t="s">
        <v>42</v>
      </c>
      <c r="V409" t="s">
        <v>29</v>
      </c>
      <c r="W409" t="s">
        <v>43</v>
      </c>
      <c r="X409">
        <v>4</v>
      </c>
      <c r="Y409">
        <v>10</v>
      </c>
      <c r="Z409" t="s">
        <v>68</v>
      </c>
    </row>
    <row r="410" spans="1:26">
      <c r="A410" t="s">
        <v>467</v>
      </c>
      <c r="B410">
        <v>16</v>
      </c>
      <c r="C410" t="str">
        <f t="shared" si="30"/>
        <v>0-17</v>
      </c>
      <c r="D410" t="s">
        <v>41</v>
      </c>
      <c r="E410" s="2">
        <v>45024</v>
      </c>
      <c r="F410" s="2" t="str">
        <f t="shared" ca="1" si="31"/>
        <v>No</v>
      </c>
      <c r="G410" s="2" t="str">
        <f t="shared" si="32"/>
        <v>Apr-2023</v>
      </c>
      <c r="H410" s="2">
        <v>45238</v>
      </c>
      <c r="I410">
        <v>7</v>
      </c>
      <c r="J410" t="s">
        <v>23</v>
      </c>
      <c r="K410">
        <v>5</v>
      </c>
      <c r="L410" t="s">
        <v>71</v>
      </c>
      <c r="M410" s="9">
        <v>25061</v>
      </c>
      <c r="N410" t="s">
        <v>53</v>
      </c>
      <c r="O410" t="s">
        <v>26</v>
      </c>
      <c r="P410" t="s">
        <v>27</v>
      </c>
      <c r="Q410" s="2">
        <v>45138</v>
      </c>
      <c r="R410" s="13">
        <f t="shared" si="33"/>
        <v>-293279.99999999651</v>
      </c>
      <c r="S410" s="13">
        <f t="shared" si="34"/>
        <v>-1155.1503006010485</v>
      </c>
      <c r="T410" s="2">
        <v>44934.333333333336</v>
      </c>
      <c r="U410" t="s">
        <v>37</v>
      </c>
      <c r="V410" t="s">
        <v>29</v>
      </c>
      <c r="W410" t="s">
        <v>43</v>
      </c>
      <c r="X410">
        <v>11</v>
      </c>
      <c r="Y410">
        <v>8</v>
      </c>
      <c r="Z410" t="s">
        <v>68</v>
      </c>
    </row>
    <row r="411" spans="1:26">
      <c r="A411" t="s">
        <v>468</v>
      </c>
      <c r="B411">
        <v>13</v>
      </c>
      <c r="C411" t="str">
        <f t="shared" si="30"/>
        <v>0-17</v>
      </c>
      <c r="D411" t="s">
        <v>22</v>
      </c>
      <c r="E411" s="2">
        <v>45367</v>
      </c>
      <c r="F411" s="2" t="str">
        <f t="shared" ca="1" si="31"/>
        <v>No</v>
      </c>
      <c r="G411" s="2" t="str">
        <f t="shared" si="32"/>
        <v>Mar-2024</v>
      </c>
      <c r="H411" s="2">
        <v>45368</v>
      </c>
      <c r="I411">
        <v>1</v>
      </c>
      <c r="J411" t="s">
        <v>40</v>
      </c>
      <c r="K411">
        <v>2</v>
      </c>
      <c r="L411" t="s">
        <v>66</v>
      </c>
      <c r="M411" s="9">
        <v>27671</v>
      </c>
      <c r="N411" t="s">
        <v>36</v>
      </c>
      <c r="O411" t="s">
        <v>26</v>
      </c>
      <c r="P411" t="s">
        <v>27</v>
      </c>
      <c r="Q411" s="2">
        <v>45599</v>
      </c>
      <c r="R411" s="13">
        <f t="shared" si="33"/>
        <v>43380</v>
      </c>
      <c r="S411" s="13">
        <f t="shared" si="34"/>
        <v>-562.00400801588512</v>
      </c>
      <c r="T411" s="2">
        <v>45629.125</v>
      </c>
      <c r="U411" t="s">
        <v>28</v>
      </c>
      <c r="V411" t="s">
        <v>29</v>
      </c>
      <c r="W411" t="s">
        <v>43</v>
      </c>
      <c r="X411">
        <v>10</v>
      </c>
      <c r="Y411">
        <v>12</v>
      </c>
      <c r="Z411" t="s">
        <v>48</v>
      </c>
    </row>
    <row r="412" spans="1:26">
      <c r="A412" t="s">
        <v>469</v>
      </c>
      <c r="B412">
        <v>30</v>
      </c>
      <c r="C412" t="str">
        <f t="shared" si="30"/>
        <v>18-35</v>
      </c>
      <c r="D412" t="s">
        <v>45</v>
      </c>
      <c r="E412" s="2">
        <v>45256</v>
      </c>
      <c r="F412" s="2" t="str">
        <f t="shared" ca="1" si="31"/>
        <v>No</v>
      </c>
      <c r="G412" s="2" t="str">
        <f t="shared" si="32"/>
        <v>Nov-2023</v>
      </c>
      <c r="H412" s="2">
        <v>44969</v>
      </c>
      <c r="I412">
        <v>6</v>
      </c>
      <c r="J412" t="s">
        <v>34</v>
      </c>
      <c r="K412">
        <v>2</v>
      </c>
      <c r="L412" t="s">
        <v>46</v>
      </c>
      <c r="M412" s="9">
        <v>6409</v>
      </c>
      <c r="N412" t="s">
        <v>60</v>
      </c>
      <c r="O412" t="s">
        <v>54</v>
      </c>
      <c r="P412" t="s">
        <v>27</v>
      </c>
      <c r="Q412" s="2">
        <v>45254</v>
      </c>
      <c r="R412" s="13">
        <f t="shared" si="33"/>
        <v>2759.9999999965075</v>
      </c>
      <c r="S412" s="13">
        <f t="shared" si="34"/>
        <v>-646.05210420826984</v>
      </c>
      <c r="T412" s="2">
        <v>45255.916666666664</v>
      </c>
      <c r="U412" t="s">
        <v>37</v>
      </c>
      <c r="V412" t="s">
        <v>29</v>
      </c>
      <c r="W412" t="s">
        <v>43</v>
      </c>
      <c r="X412">
        <v>10</v>
      </c>
      <c r="Y412">
        <v>8</v>
      </c>
      <c r="Z412" t="s">
        <v>68</v>
      </c>
    </row>
    <row r="413" spans="1:26">
      <c r="A413" t="s">
        <v>470</v>
      </c>
      <c r="B413">
        <v>19</v>
      </c>
      <c r="C413" t="str">
        <f t="shared" si="30"/>
        <v>18-35</v>
      </c>
      <c r="D413" t="s">
        <v>22</v>
      </c>
      <c r="E413" s="2">
        <v>45403</v>
      </c>
      <c r="F413" s="2" t="str">
        <f t="shared" ca="1" si="31"/>
        <v>No</v>
      </c>
      <c r="G413" s="2" t="str">
        <f t="shared" si="32"/>
        <v>Apr-2024</v>
      </c>
      <c r="H413" s="2">
        <v>45406</v>
      </c>
      <c r="I413">
        <v>3</v>
      </c>
      <c r="J413" t="s">
        <v>63</v>
      </c>
      <c r="K413">
        <v>4</v>
      </c>
      <c r="L413" t="s">
        <v>35</v>
      </c>
      <c r="M413" s="9">
        <v>13205</v>
      </c>
      <c r="N413" t="s">
        <v>25</v>
      </c>
      <c r="O413" t="s">
        <v>54</v>
      </c>
      <c r="P413" t="s">
        <v>41</v>
      </c>
      <c r="Q413" s="2">
        <v>45401</v>
      </c>
      <c r="R413" s="13">
        <f t="shared" si="33"/>
        <v>1740.0000000034925</v>
      </c>
      <c r="S413" s="13">
        <f t="shared" si="34"/>
        <v>-647.97595190365359</v>
      </c>
      <c r="T413" s="2">
        <v>45402.208333333336</v>
      </c>
      <c r="U413" t="s">
        <v>55</v>
      </c>
      <c r="V413" t="s">
        <v>29</v>
      </c>
      <c r="W413" t="s">
        <v>47</v>
      </c>
      <c r="X413">
        <v>7</v>
      </c>
      <c r="Y413">
        <v>10</v>
      </c>
      <c r="Z413" t="s">
        <v>68</v>
      </c>
    </row>
    <row r="414" spans="1:26">
      <c r="A414" t="s">
        <v>471</v>
      </c>
      <c r="B414">
        <v>17</v>
      </c>
      <c r="C414" t="str">
        <f t="shared" si="30"/>
        <v>0-17</v>
      </c>
      <c r="D414" t="s">
        <v>41</v>
      </c>
      <c r="E414" s="2">
        <v>45379</v>
      </c>
      <c r="F414" s="2" t="str">
        <f t="shared" ca="1" si="31"/>
        <v>No</v>
      </c>
      <c r="G414" s="2" t="str">
        <f t="shared" si="32"/>
        <v>Mar-2024</v>
      </c>
      <c r="H414" s="2">
        <v>45569</v>
      </c>
      <c r="I414">
        <v>13</v>
      </c>
      <c r="J414" t="s">
        <v>34</v>
      </c>
      <c r="K414">
        <v>1</v>
      </c>
      <c r="L414" t="s">
        <v>46</v>
      </c>
      <c r="M414" s="9">
        <v>21365</v>
      </c>
      <c r="N414" t="s">
        <v>25</v>
      </c>
      <c r="O414" t="s">
        <v>54</v>
      </c>
      <c r="P414" t="s">
        <v>27</v>
      </c>
      <c r="Q414" s="2">
        <v>45379</v>
      </c>
      <c r="R414" s="13">
        <f t="shared" si="33"/>
        <v>1920.0000000034925</v>
      </c>
      <c r="S414" s="13">
        <f t="shared" si="34"/>
        <v>-475.43086172329993</v>
      </c>
      <c r="T414" s="2">
        <v>45380.333333333336</v>
      </c>
      <c r="U414" t="s">
        <v>55</v>
      </c>
      <c r="V414" t="s">
        <v>29</v>
      </c>
      <c r="W414" t="s">
        <v>47</v>
      </c>
      <c r="X414">
        <v>5</v>
      </c>
      <c r="Y414">
        <v>8</v>
      </c>
      <c r="Z414" t="s">
        <v>48</v>
      </c>
    </row>
    <row r="415" spans="1:26">
      <c r="A415" t="s">
        <v>472</v>
      </c>
      <c r="B415">
        <v>63</v>
      </c>
      <c r="C415" t="str">
        <f t="shared" si="30"/>
        <v>51-65</v>
      </c>
      <c r="D415" t="s">
        <v>62</v>
      </c>
      <c r="E415" s="2">
        <v>45379</v>
      </c>
      <c r="F415" s="2" t="str">
        <f t="shared" ca="1" si="31"/>
        <v>No</v>
      </c>
      <c r="G415" s="2" t="str">
        <f t="shared" si="32"/>
        <v>Mar-2024</v>
      </c>
      <c r="H415" s="2">
        <v>45477</v>
      </c>
      <c r="I415">
        <v>10</v>
      </c>
      <c r="J415" t="s">
        <v>57</v>
      </c>
      <c r="K415">
        <v>3</v>
      </c>
      <c r="L415" t="s">
        <v>24</v>
      </c>
      <c r="M415" s="9">
        <v>5256</v>
      </c>
      <c r="N415" t="s">
        <v>60</v>
      </c>
      <c r="O415" t="s">
        <v>54</v>
      </c>
      <c r="P415" t="s">
        <v>27</v>
      </c>
      <c r="Q415" s="2">
        <v>45375</v>
      </c>
      <c r="R415" s="13">
        <f t="shared" si="33"/>
        <v>660.00000000349246</v>
      </c>
      <c r="S415" s="13">
        <f t="shared" si="34"/>
        <v>-478.55711422831695</v>
      </c>
      <c r="T415" s="2">
        <v>45375.458333333336</v>
      </c>
      <c r="U415" t="s">
        <v>64</v>
      </c>
      <c r="V415" t="s">
        <v>29</v>
      </c>
      <c r="W415" t="s">
        <v>43</v>
      </c>
      <c r="X415">
        <v>9</v>
      </c>
      <c r="Y415">
        <v>8</v>
      </c>
      <c r="Z415" t="s">
        <v>68</v>
      </c>
    </row>
    <row r="416" spans="1:26">
      <c r="A416" t="s">
        <v>473</v>
      </c>
      <c r="B416">
        <v>19</v>
      </c>
      <c r="C416" t="str">
        <f t="shared" si="30"/>
        <v>18-35</v>
      </c>
      <c r="D416" t="s">
        <v>41</v>
      </c>
      <c r="E416" s="2">
        <v>45115</v>
      </c>
      <c r="F416" s="2" t="str">
        <f t="shared" ca="1" si="31"/>
        <v>No</v>
      </c>
      <c r="G416" s="2" t="str">
        <f t="shared" si="32"/>
        <v>Jul-2023</v>
      </c>
      <c r="H416" s="2">
        <v>45153</v>
      </c>
      <c r="I416">
        <v>8</v>
      </c>
      <c r="J416" t="s">
        <v>50</v>
      </c>
      <c r="K416">
        <v>2</v>
      </c>
      <c r="L416" t="s">
        <v>71</v>
      </c>
      <c r="M416" s="9">
        <v>20704</v>
      </c>
      <c r="N416" t="s">
        <v>25</v>
      </c>
      <c r="O416" t="s">
        <v>26</v>
      </c>
      <c r="P416" t="s">
        <v>27</v>
      </c>
      <c r="Q416" s="2">
        <v>44965</v>
      </c>
      <c r="R416" s="13">
        <f t="shared" si="33"/>
        <v>360</v>
      </c>
      <c r="S416" s="13">
        <f t="shared" si="34"/>
        <v>-475.31062124234501</v>
      </c>
      <c r="T416" s="2">
        <v>44965.25</v>
      </c>
      <c r="U416" t="s">
        <v>42</v>
      </c>
      <c r="V416" t="s">
        <v>29</v>
      </c>
      <c r="W416" t="s">
        <v>30</v>
      </c>
      <c r="X416">
        <v>5</v>
      </c>
      <c r="Y416">
        <v>8</v>
      </c>
      <c r="Z416" t="s">
        <v>31</v>
      </c>
    </row>
    <row r="417" spans="1:26">
      <c r="A417" t="s">
        <v>474</v>
      </c>
      <c r="B417">
        <v>58</v>
      </c>
      <c r="C417" t="str">
        <f t="shared" si="30"/>
        <v>51-65</v>
      </c>
      <c r="D417" t="s">
        <v>62</v>
      </c>
      <c r="E417" s="2">
        <v>45479</v>
      </c>
      <c r="F417" s="2" t="str">
        <f t="shared" ca="1" si="31"/>
        <v>No</v>
      </c>
      <c r="G417" s="2" t="str">
        <f t="shared" si="32"/>
        <v>Jul-2024</v>
      </c>
      <c r="H417" s="2">
        <v>45464</v>
      </c>
      <c r="I417">
        <v>14</v>
      </c>
      <c r="J417" t="s">
        <v>63</v>
      </c>
      <c r="K417">
        <v>2</v>
      </c>
      <c r="L417" t="s">
        <v>71</v>
      </c>
      <c r="M417" s="9">
        <v>34902</v>
      </c>
      <c r="N417" t="s">
        <v>53</v>
      </c>
      <c r="O417" t="s">
        <v>26</v>
      </c>
      <c r="P417" t="s">
        <v>27</v>
      </c>
      <c r="Q417" s="2">
        <v>45357</v>
      </c>
      <c r="R417" s="13">
        <f t="shared" si="33"/>
        <v>45419.999999996508</v>
      </c>
      <c r="S417" s="13">
        <f t="shared" si="34"/>
        <v>-475.19038076139009</v>
      </c>
      <c r="T417" s="2">
        <v>45388.541666666664</v>
      </c>
      <c r="U417" t="s">
        <v>42</v>
      </c>
      <c r="V417" t="s">
        <v>29</v>
      </c>
      <c r="W417" t="s">
        <v>30</v>
      </c>
      <c r="X417">
        <v>5</v>
      </c>
      <c r="Y417">
        <v>10</v>
      </c>
      <c r="Z417" t="s">
        <v>48</v>
      </c>
    </row>
    <row r="418" spans="1:26">
      <c r="A418" t="s">
        <v>475</v>
      </c>
      <c r="B418">
        <v>55</v>
      </c>
      <c r="C418" t="str">
        <f t="shared" si="30"/>
        <v>51-65</v>
      </c>
      <c r="D418" t="s">
        <v>41</v>
      </c>
      <c r="E418" s="2">
        <v>45411</v>
      </c>
      <c r="F418" s="2" t="str">
        <f t="shared" ca="1" si="31"/>
        <v>No</v>
      </c>
      <c r="G418" s="2" t="str">
        <f t="shared" si="32"/>
        <v>Apr-2024</v>
      </c>
      <c r="H418" s="2">
        <v>45601</v>
      </c>
      <c r="I418">
        <v>12</v>
      </c>
      <c r="J418" t="s">
        <v>63</v>
      </c>
      <c r="K418">
        <v>1</v>
      </c>
      <c r="L418" t="s">
        <v>24</v>
      </c>
      <c r="M418" s="9">
        <v>40758</v>
      </c>
      <c r="N418" t="s">
        <v>25</v>
      </c>
      <c r="O418" t="s">
        <v>54</v>
      </c>
      <c r="P418" t="s">
        <v>27</v>
      </c>
      <c r="Q418" s="2">
        <v>45408</v>
      </c>
      <c r="R418" s="13">
        <f t="shared" si="33"/>
        <v>120.00000000349246</v>
      </c>
      <c r="S418" s="13">
        <f t="shared" si="34"/>
        <v>-562.24448897781588</v>
      </c>
      <c r="T418" s="2">
        <v>45408.083333333336</v>
      </c>
      <c r="U418" t="s">
        <v>37</v>
      </c>
      <c r="V418" t="s">
        <v>29</v>
      </c>
      <c r="W418" t="s">
        <v>30</v>
      </c>
      <c r="X418">
        <v>7</v>
      </c>
      <c r="Y418">
        <v>12</v>
      </c>
      <c r="Z418" t="s">
        <v>31</v>
      </c>
    </row>
    <row r="419" spans="1:26">
      <c r="A419" t="s">
        <v>476</v>
      </c>
      <c r="B419">
        <v>62</v>
      </c>
      <c r="C419" t="str">
        <f t="shared" si="30"/>
        <v>51-65</v>
      </c>
      <c r="D419" t="s">
        <v>45</v>
      </c>
      <c r="E419" s="2">
        <v>45100</v>
      </c>
      <c r="F419" s="2" t="str">
        <f t="shared" ca="1" si="31"/>
        <v>No</v>
      </c>
      <c r="G419" s="2" t="str">
        <f t="shared" si="32"/>
        <v>Jun-2023</v>
      </c>
      <c r="H419" s="2">
        <v>45145</v>
      </c>
      <c r="I419">
        <v>15</v>
      </c>
      <c r="J419" t="s">
        <v>57</v>
      </c>
      <c r="K419">
        <v>1</v>
      </c>
      <c r="L419" t="s">
        <v>66</v>
      </c>
      <c r="M419" s="9">
        <v>6195</v>
      </c>
      <c r="N419" t="s">
        <v>25</v>
      </c>
      <c r="O419" t="s">
        <v>54</v>
      </c>
      <c r="P419" t="s">
        <v>41</v>
      </c>
      <c r="Q419" s="2">
        <v>45097</v>
      </c>
      <c r="R419" s="13">
        <f t="shared" si="33"/>
        <v>900</v>
      </c>
      <c r="S419" s="13">
        <f t="shared" si="34"/>
        <v>-561.40280561108943</v>
      </c>
      <c r="T419" s="2">
        <v>45097.625</v>
      </c>
      <c r="U419" t="s">
        <v>42</v>
      </c>
      <c r="V419" t="s">
        <v>29</v>
      </c>
      <c r="W419" t="s">
        <v>30</v>
      </c>
      <c r="X419">
        <v>8</v>
      </c>
      <c r="Y419">
        <v>12</v>
      </c>
      <c r="Z419" t="s">
        <v>68</v>
      </c>
    </row>
    <row r="420" spans="1:26">
      <c r="A420" t="s">
        <v>477</v>
      </c>
      <c r="B420">
        <v>23</v>
      </c>
      <c r="C420" t="str">
        <f t="shared" si="30"/>
        <v>18-35</v>
      </c>
      <c r="D420" t="s">
        <v>33</v>
      </c>
      <c r="E420" s="2">
        <v>45013</v>
      </c>
      <c r="F420" s="2" t="str">
        <f t="shared" ca="1" si="31"/>
        <v>No</v>
      </c>
      <c r="G420" s="2" t="str">
        <f t="shared" si="32"/>
        <v>Mar-2023</v>
      </c>
      <c r="H420" s="2">
        <v>44989</v>
      </c>
      <c r="I420">
        <v>6</v>
      </c>
      <c r="J420" t="s">
        <v>34</v>
      </c>
      <c r="K420">
        <v>5</v>
      </c>
      <c r="L420" t="s">
        <v>66</v>
      </c>
      <c r="M420" s="9">
        <v>39012</v>
      </c>
      <c r="N420" t="s">
        <v>60</v>
      </c>
      <c r="O420" t="s">
        <v>54</v>
      </c>
      <c r="P420" t="s">
        <v>41</v>
      </c>
      <c r="Q420" s="2">
        <v>45011</v>
      </c>
      <c r="R420" s="13">
        <f t="shared" si="33"/>
        <v>1139.9999999965075</v>
      </c>
      <c r="S420" s="13">
        <f t="shared" si="34"/>
        <v>-471.70340681348728</v>
      </c>
      <c r="T420" s="2">
        <v>45011.791666666664</v>
      </c>
      <c r="U420" t="s">
        <v>55</v>
      </c>
      <c r="V420" t="s">
        <v>29</v>
      </c>
      <c r="W420" t="s">
        <v>47</v>
      </c>
      <c r="X420">
        <v>10</v>
      </c>
      <c r="Y420">
        <v>12</v>
      </c>
      <c r="Z420" t="s">
        <v>68</v>
      </c>
    </row>
    <row r="421" spans="1:26">
      <c r="A421" t="s">
        <v>478</v>
      </c>
      <c r="B421">
        <v>9</v>
      </c>
      <c r="C421" t="str">
        <f t="shared" si="30"/>
        <v>0-17</v>
      </c>
      <c r="D421" t="s">
        <v>45</v>
      </c>
      <c r="E421" s="2">
        <v>45217</v>
      </c>
      <c r="F421" s="2" t="str">
        <f t="shared" ca="1" si="31"/>
        <v>No</v>
      </c>
      <c r="G421" s="2" t="str">
        <f t="shared" si="32"/>
        <v>Oct-2023</v>
      </c>
      <c r="H421" s="2">
        <v>45219</v>
      </c>
      <c r="I421">
        <v>2</v>
      </c>
      <c r="J421" t="s">
        <v>50</v>
      </c>
      <c r="K421">
        <v>3</v>
      </c>
      <c r="L421" t="s">
        <v>71</v>
      </c>
      <c r="M421" s="9">
        <v>16415</v>
      </c>
      <c r="N421" t="s">
        <v>60</v>
      </c>
      <c r="O421" t="s">
        <v>54</v>
      </c>
      <c r="P421" t="s">
        <v>27</v>
      </c>
      <c r="Q421" s="2">
        <v>45216</v>
      </c>
      <c r="R421" s="13">
        <f t="shared" si="33"/>
        <v>180</v>
      </c>
      <c r="S421" s="13">
        <f t="shared" si="34"/>
        <v>-470.8617234467398</v>
      </c>
      <c r="T421" s="2">
        <v>45216.125</v>
      </c>
      <c r="U421" t="s">
        <v>28</v>
      </c>
      <c r="V421" t="s">
        <v>29</v>
      </c>
      <c r="W421" t="s">
        <v>30</v>
      </c>
      <c r="X421">
        <v>6</v>
      </c>
      <c r="Y421">
        <v>8</v>
      </c>
      <c r="Z421" t="s">
        <v>48</v>
      </c>
    </row>
    <row r="422" spans="1:26">
      <c r="A422" t="s">
        <v>479</v>
      </c>
      <c r="B422">
        <v>12</v>
      </c>
      <c r="C422" t="str">
        <f t="shared" si="30"/>
        <v>0-17</v>
      </c>
      <c r="D422" t="s">
        <v>22</v>
      </c>
      <c r="E422" s="2">
        <v>45602</v>
      </c>
      <c r="F422" s="2" t="str">
        <f t="shared" ca="1" si="31"/>
        <v>No</v>
      </c>
      <c r="G422" s="2" t="str">
        <f t="shared" si="32"/>
        <v>Nov-2024</v>
      </c>
      <c r="H422" s="2">
        <v>45461</v>
      </c>
      <c r="I422">
        <v>7</v>
      </c>
      <c r="J422" t="s">
        <v>34</v>
      </c>
      <c r="K422">
        <v>1</v>
      </c>
      <c r="L422" t="s">
        <v>71</v>
      </c>
      <c r="M422" s="9">
        <v>44534</v>
      </c>
      <c r="N422" t="s">
        <v>25</v>
      </c>
      <c r="O422" t="s">
        <v>26</v>
      </c>
      <c r="P422" t="s">
        <v>41</v>
      </c>
      <c r="Q422" s="2">
        <v>45541</v>
      </c>
      <c r="R422" s="13">
        <f t="shared" si="33"/>
        <v>1080</v>
      </c>
      <c r="S422" s="13">
        <f t="shared" si="34"/>
        <v>-470.62124248480899</v>
      </c>
      <c r="T422" s="2">
        <v>45541.75</v>
      </c>
      <c r="U422" t="s">
        <v>37</v>
      </c>
      <c r="V422" t="s">
        <v>29</v>
      </c>
      <c r="W422" t="s">
        <v>30</v>
      </c>
      <c r="X422">
        <v>9</v>
      </c>
      <c r="Y422">
        <v>8</v>
      </c>
      <c r="Z422" t="s">
        <v>68</v>
      </c>
    </row>
    <row r="423" spans="1:26">
      <c r="A423" t="s">
        <v>480</v>
      </c>
      <c r="B423">
        <v>1</v>
      </c>
      <c r="C423" t="str">
        <f t="shared" si="30"/>
        <v>0-17</v>
      </c>
      <c r="D423" t="s">
        <v>45</v>
      </c>
      <c r="E423" s="2">
        <v>45211</v>
      </c>
      <c r="F423" s="2" t="str">
        <f t="shared" ca="1" si="31"/>
        <v>No</v>
      </c>
      <c r="G423" s="2" t="str">
        <f t="shared" si="32"/>
        <v>Oct-2023</v>
      </c>
      <c r="H423" s="2">
        <v>45284</v>
      </c>
      <c r="I423">
        <v>14</v>
      </c>
      <c r="J423" t="s">
        <v>40</v>
      </c>
      <c r="K423">
        <v>2</v>
      </c>
      <c r="L423" t="s">
        <v>35</v>
      </c>
      <c r="M423" s="9">
        <v>26686</v>
      </c>
      <c r="N423" t="s">
        <v>67</v>
      </c>
      <c r="O423" t="s">
        <v>54</v>
      </c>
      <c r="P423" t="s">
        <v>41</v>
      </c>
      <c r="Q423" s="2">
        <v>45211</v>
      </c>
      <c r="R423" s="13">
        <f t="shared" si="33"/>
        <v>900</v>
      </c>
      <c r="S423" s="13">
        <f t="shared" si="34"/>
        <v>-468.21643286556349</v>
      </c>
      <c r="T423" s="2">
        <v>45211.625</v>
      </c>
      <c r="U423" t="s">
        <v>42</v>
      </c>
      <c r="V423" t="s">
        <v>29</v>
      </c>
      <c r="W423" t="s">
        <v>43</v>
      </c>
      <c r="X423">
        <v>11</v>
      </c>
      <c r="Y423">
        <v>10</v>
      </c>
      <c r="Z423" t="s">
        <v>48</v>
      </c>
    </row>
    <row r="424" spans="1:26">
      <c r="A424" t="s">
        <v>481</v>
      </c>
      <c r="B424">
        <v>58</v>
      </c>
      <c r="C424" t="str">
        <f t="shared" si="30"/>
        <v>51-65</v>
      </c>
      <c r="D424" t="s">
        <v>52</v>
      </c>
      <c r="E424" s="2">
        <v>45081</v>
      </c>
      <c r="F424" s="2" t="str">
        <f t="shared" ca="1" si="31"/>
        <v>No</v>
      </c>
      <c r="G424" s="2" t="str">
        <f t="shared" si="32"/>
        <v>Jun-2023</v>
      </c>
      <c r="H424" s="2">
        <v>45142</v>
      </c>
      <c r="I424">
        <v>2</v>
      </c>
      <c r="J424" t="s">
        <v>34</v>
      </c>
      <c r="K424">
        <v>2</v>
      </c>
      <c r="L424" t="s">
        <v>66</v>
      </c>
      <c r="M424" s="9">
        <v>16662</v>
      </c>
      <c r="N424" t="s">
        <v>60</v>
      </c>
      <c r="O424" t="s">
        <v>26</v>
      </c>
      <c r="P424" t="s">
        <v>41</v>
      </c>
      <c r="Q424" s="2">
        <v>45020</v>
      </c>
      <c r="R424" s="13">
        <f t="shared" si="33"/>
        <v>43860.000000003492</v>
      </c>
      <c r="S424" s="13">
        <f t="shared" si="34"/>
        <v>-465.57114228440815</v>
      </c>
      <c r="T424" s="2">
        <v>45050.458333333336</v>
      </c>
      <c r="U424" t="s">
        <v>55</v>
      </c>
      <c r="V424" t="s">
        <v>29</v>
      </c>
      <c r="W424" t="s">
        <v>30</v>
      </c>
      <c r="X424">
        <v>8</v>
      </c>
      <c r="Y424">
        <v>12</v>
      </c>
      <c r="Z424" t="s">
        <v>48</v>
      </c>
    </row>
    <row r="425" spans="1:26">
      <c r="A425" t="s">
        <v>482</v>
      </c>
      <c r="B425">
        <v>1</v>
      </c>
      <c r="C425" t="str">
        <f t="shared" si="30"/>
        <v>0-17</v>
      </c>
      <c r="D425" t="s">
        <v>22</v>
      </c>
      <c r="E425" s="2">
        <v>45167</v>
      </c>
      <c r="F425" s="2" t="str">
        <f t="shared" ca="1" si="31"/>
        <v>No</v>
      </c>
      <c r="G425" s="2" t="str">
        <f t="shared" si="32"/>
        <v>Aug-2023</v>
      </c>
      <c r="H425" s="2">
        <v>44966</v>
      </c>
      <c r="I425">
        <v>4</v>
      </c>
      <c r="J425" t="s">
        <v>63</v>
      </c>
      <c r="K425">
        <v>4</v>
      </c>
      <c r="L425" t="s">
        <v>24</v>
      </c>
      <c r="M425" s="9">
        <v>33743</v>
      </c>
      <c r="N425" t="s">
        <v>36</v>
      </c>
      <c r="O425" t="s">
        <v>26</v>
      </c>
      <c r="P425" t="s">
        <v>41</v>
      </c>
      <c r="Q425" s="2">
        <v>45162</v>
      </c>
      <c r="R425" s="13">
        <f t="shared" si="33"/>
        <v>1139.9999999965075</v>
      </c>
      <c r="S425" s="13">
        <f t="shared" si="34"/>
        <v>-552.98597194374076</v>
      </c>
      <c r="T425" s="2">
        <v>45162.791666666664</v>
      </c>
      <c r="U425" t="s">
        <v>64</v>
      </c>
      <c r="V425" t="s">
        <v>29</v>
      </c>
      <c r="W425" t="s">
        <v>47</v>
      </c>
      <c r="X425">
        <v>4</v>
      </c>
      <c r="Y425">
        <v>8</v>
      </c>
      <c r="Z425" t="s">
        <v>48</v>
      </c>
    </row>
    <row r="426" spans="1:26">
      <c r="A426" t="s">
        <v>483</v>
      </c>
      <c r="B426">
        <v>34</v>
      </c>
      <c r="C426" t="str">
        <f t="shared" si="30"/>
        <v>18-35</v>
      </c>
      <c r="D426" t="s">
        <v>41</v>
      </c>
      <c r="E426" s="2">
        <v>45244</v>
      </c>
      <c r="F426" s="2" t="str">
        <f t="shared" ca="1" si="31"/>
        <v>No</v>
      </c>
      <c r="G426" s="2" t="str">
        <f t="shared" si="32"/>
        <v>Nov-2023</v>
      </c>
      <c r="H426" s="2">
        <v>45251</v>
      </c>
      <c r="I426">
        <v>7</v>
      </c>
      <c r="J426" t="s">
        <v>50</v>
      </c>
      <c r="K426">
        <v>1</v>
      </c>
      <c r="L426" t="s">
        <v>66</v>
      </c>
      <c r="M426" s="9">
        <v>37161</v>
      </c>
      <c r="N426" t="s">
        <v>36</v>
      </c>
      <c r="O426" t="s">
        <v>26</v>
      </c>
      <c r="P426" t="s">
        <v>27</v>
      </c>
      <c r="Q426" s="2">
        <v>45244</v>
      </c>
      <c r="R426" s="13">
        <f t="shared" si="33"/>
        <v>660.00000000349246</v>
      </c>
      <c r="S426" s="13">
        <f t="shared" si="34"/>
        <v>-551.90380761508345</v>
      </c>
      <c r="T426" s="2">
        <v>45244.458333333336</v>
      </c>
      <c r="U426" t="s">
        <v>42</v>
      </c>
      <c r="V426" t="s">
        <v>29</v>
      </c>
      <c r="W426" t="s">
        <v>30</v>
      </c>
      <c r="X426">
        <v>10</v>
      </c>
      <c r="Y426">
        <v>8</v>
      </c>
      <c r="Z426" t="s">
        <v>48</v>
      </c>
    </row>
    <row r="427" spans="1:26">
      <c r="A427" t="s">
        <v>484</v>
      </c>
      <c r="B427">
        <v>48</v>
      </c>
      <c r="C427" t="str">
        <f t="shared" si="30"/>
        <v>36-50</v>
      </c>
      <c r="D427" t="s">
        <v>22</v>
      </c>
      <c r="E427" s="2">
        <v>45157</v>
      </c>
      <c r="F427" s="2" t="str">
        <f t="shared" ca="1" si="31"/>
        <v>No</v>
      </c>
      <c r="G427" s="2" t="str">
        <f t="shared" si="32"/>
        <v>Aug-2023</v>
      </c>
      <c r="H427" s="2">
        <v>45167</v>
      </c>
      <c r="I427">
        <v>10</v>
      </c>
      <c r="J427" t="s">
        <v>34</v>
      </c>
      <c r="K427">
        <v>5</v>
      </c>
      <c r="L427" t="s">
        <v>35</v>
      </c>
      <c r="M427" s="9">
        <v>48081</v>
      </c>
      <c r="N427" t="s">
        <v>53</v>
      </c>
      <c r="O427" t="s">
        <v>54</v>
      </c>
      <c r="P427" t="s">
        <v>27</v>
      </c>
      <c r="Q427" s="2">
        <v>45155</v>
      </c>
      <c r="R427" s="13">
        <f t="shared" si="33"/>
        <v>1800</v>
      </c>
      <c r="S427" s="13">
        <f t="shared" si="34"/>
        <v>-548.05611222431594</v>
      </c>
      <c r="T427" s="2">
        <v>45156.25</v>
      </c>
      <c r="U427" t="s">
        <v>28</v>
      </c>
      <c r="V427" t="s">
        <v>29</v>
      </c>
      <c r="W427" t="s">
        <v>30</v>
      </c>
      <c r="X427">
        <v>9</v>
      </c>
      <c r="Y427">
        <v>8</v>
      </c>
      <c r="Z427" t="s">
        <v>48</v>
      </c>
    </row>
    <row r="428" spans="1:26">
      <c r="A428" t="s">
        <v>485</v>
      </c>
      <c r="B428">
        <v>89</v>
      </c>
      <c r="C428" t="str">
        <f t="shared" si="30"/>
        <v>66+</v>
      </c>
      <c r="D428" t="s">
        <v>33</v>
      </c>
      <c r="E428" s="2">
        <v>45130</v>
      </c>
      <c r="F428" s="2" t="str">
        <f t="shared" ca="1" si="31"/>
        <v>No</v>
      </c>
      <c r="G428" s="2" t="str">
        <f t="shared" si="32"/>
        <v>Jul-2023</v>
      </c>
      <c r="H428" s="2">
        <v>45137</v>
      </c>
      <c r="I428">
        <v>7</v>
      </c>
      <c r="J428" t="s">
        <v>50</v>
      </c>
      <c r="K428">
        <v>3</v>
      </c>
      <c r="L428" t="s">
        <v>71</v>
      </c>
      <c r="M428" s="9">
        <v>7402</v>
      </c>
      <c r="N428" t="s">
        <v>25</v>
      </c>
      <c r="O428" t="s">
        <v>26</v>
      </c>
      <c r="P428" t="s">
        <v>27</v>
      </c>
      <c r="Q428" s="2">
        <v>45127</v>
      </c>
      <c r="R428" s="13">
        <f t="shared" si="33"/>
        <v>2219.9999999965075</v>
      </c>
      <c r="S428" s="13">
        <f t="shared" si="34"/>
        <v>-550.5811623245163</v>
      </c>
      <c r="T428" s="2">
        <v>45128.541666666664</v>
      </c>
      <c r="U428" t="s">
        <v>28</v>
      </c>
      <c r="V428" t="s">
        <v>29</v>
      </c>
      <c r="W428" t="s">
        <v>47</v>
      </c>
      <c r="X428">
        <v>6</v>
      </c>
      <c r="Y428">
        <v>10</v>
      </c>
      <c r="Z428" t="s">
        <v>31</v>
      </c>
    </row>
    <row r="429" spans="1:26">
      <c r="A429" t="s">
        <v>486</v>
      </c>
      <c r="B429">
        <v>1</v>
      </c>
      <c r="C429" t="str">
        <f t="shared" si="30"/>
        <v>0-17</v>
      </c>
      <c r="D429" t="s">
        <v>62</v>
      </c>
      <c r="E429" s="2">
        <v>45077</v>
      </c>
      <c r="F429" s="2" t="str">
        <f t="shared" ca="1" si="31"/>
        <v>No</v>
      </c>
      <c r="G429" s="2" t="str">
        <f t="shared" si="32"/>
        <v>May-2023</v>
      </c>
      <c r="H429" s="2">
        <v>45175</v>
      </c>
      <c r="I429">
        <v>9</v>
      </c>
      <c r="J429" t="s">
        <v>50</v>
      </c>
      <c r="K429">
        <v>5</v>
      </c>
      <c r="L429" t="s">
        <v>71</v>
      </c>
      <c r="M429" s="9">
        <v>18275</v>
      </c>
      <c r="N429" t="s">
        <v>67</v>
      </c>
      <c r="O429" t="s">
        <v>54</v>
      </c>
      <c r="P429" t="s">
        <v>27</v>
      </c>
      <c r="Q429" s="2">
        <v>45072</v>
      </c>
      <c r="R429" s="13">
        <f t="shared" si="33"/>
        <v>2880</v>
      </c>
      <c r="S429" s="13">
        <f t="shared" si="34"/>
        <v>-553.10621242471677</v>
      </c>
      <c r="T429" s="2">
        <v>45074</v>
      </c>
      <c r="U429" t="s">
        <v>42</v>
      </c>
      <c r="V429" t="s">
        <v>29</v>
      </c>
      <c r="W429" t="s">
        <v>43</v>
      </c>
      <c r="X429">
        <v>10</v>
      </c>
      <c r="Y429">
        <v>12</v>
      </c>
      <c r="Z429" t="s">
        <v>48</v>
      </c>
    </row>
    <row r="430" spans="1:26">
      <c r="A430" t="s">
        <v>487</v>
      </c>
      <c r="B430">
        <v>16</v>
      </c>
      <c r="C430" t="str">
        <f t="shared" si="30"/>
        <v>0-17</v>
      </c>
      <c r="D430" t="s">
        <v>41</v>
      </c>
      <c r="E430" s="2">
        <v>44952</v>
      </c>
      <c r="F430" s="2" t="str">
        <f t="shared" ca="1" si="31"/>
        <v>No</v>
      </c>
      <c r="G430" s="2" t="str">
        <f t="shared" si="32"/>
        <v>Jan-2023</v>
      </c>
      <c r="H430" s="2">
        <v>44954</v>
      </c>
      <c r="I430">
        <v>2</v>
      </c>
      <c r="J430" t="s">
        <v>40</v>
      </c>
      <c r="K430">
        <v>2</v>
      </c>
      <c r="L430" t="s">
        <v>35</v>
      </c>
      <c r="M430" s="9">
        <v>33182</v>
      </c>
      <c r="N430" t="s">
        <v>53</v>
      </c>
      <c r="O430" t="s">
        <v>26</v>
      </c>
      <c r="P430" t="s">
        <v>27</v>
      </c>
      <c r="Q430" s="2">
        <v>44950</v>
      </c>
      <c r="R430" s="13">
        <f t="shared" si="33"/>
        <v>1920.0000000034925</v>
      </c>
      <c r="S430" s="13">
        <f t="shared" si="34"/>
        <v>-556.59318637261947</v>
      </c>
      <c r="T430" s="2">
        <v>44951.333333333336</v>
      </c>
      <c r="U430" t="s">
        <v>42</v>
      </c>
      <c r="V430" t="s">
        <v>29</v>
      </c>
      <c r="W430" t="s">
        <v>47</v>
      </c>
      <c r="X430">
        <v>4</v>
      </c>
      <c r="Y430">
        <v>10</v>
      </c>
      <c r="Z430" t="s">
        <v>31</v>
      </c>
    </row>
    <row r="431" spans="1:26">
      <c r="A431" t="s">
        <v>488</v>
      </c>
      <c r="B431">
        <v>61</v>
      </c>
      <c r="C431" t="str">
        <f t="shared" si="30"/>
        <v>51-65</v>
      </c>
      <c r="D431" t="s">
        <v>22</v>
      </c>
      <c r="E431" s="2">
        <v>44974</v>
      </c>
      <c r="F431" s="2" t="str">
        <f t="shared" ca="1" si="31"/>
        <v>No</v>
      </c>
      <c r="G431" s="2" t="str">
        <f t="shared" si="32"/>
        <v>Feb-2023</v>
      </c>
      <c r="H431" s="2">
        <v>44981</v>
      </c>
      <c r="I431">
        <v>7</v>
      </c>
      <c r="J431" t="s">
        <v>40</v>
      </c>
      <c r="K431">
        <v>5</v>
      </c>
      <c r="L431" t="s">
        <v>24</v>
      </c>
      <c r="M431" s="9">
        <v>19915</v>
      </c>
      <c r="N431" t="s">
        <v>25</v>
      </c>
      <c r="O431" t="s">
        <v>54</v>
      </c>
      <c r="P431" t="s">
        <v>27</v>
      </c>
      <c r="Q431" s="2">
        <v>45262</v>
      </c>
      <c r="R431" s="13">
        <f t="shared" si="33"/>
        <v>-419760</v>
      </c>
      <c r="S431" s="13">
        <f t="shared" si="34"/>
        <v>-558.39679358704836</v>
      </c>
      <c r="T431" s="2">
        <v>44970.5</v>
      </c>
      <c r="U431" t="s">
        <v>55</v>
      </c>
      <c r="V431" t="s">
        <v>29</v>
      </c>
      <c r="W431" t="s">
        <v>43</v>
      </c>
      <c r="X431">
        <v>7</v>
      </c>
      <c r="Y431">
        <v>12</v>
      </c>
      <c r="Z431" t="s">
        <v>68</v>
      </c>
    </row>
    <row r="432" spans="1:26">
      <c r="A432" t="s">
        <v>489</v>
      </c>
      <c r="B432">
        <v>64</v>
      </c>
      <c r="C432" t="str">
        <f t="shared" si="30"/>
        <v>51-65</v>
      </c>
      <c r="D432" t="s">
        <v>41</v>
      </c>
      <c r="E432" s="2">
        <v>45147</v>
      </c>
      <c r="F432" s="2" t="str">
        <f t="shared" ca="1" si="31"/>
        <v>No</v>
      </c>
      <c r="G432" s="2" t="str">
        <f t="shared" si="32"/>
        <v>Aug-2023</v>
      </c>
      <c r="H432" s="2">
        <v>45191</v>
      </c>
      <c r="I432">
        <v>14</v>
      </c>
      <c r="J432" t="s">
        <v>63</v>
      </c>
      <c r="K432">
        <v>2</v>
      </c>
      <c r="L432" t="s">
        <v>71</v>
      </c>
      <c r="M432" s="9">
        <v>5909</v>
      </c>
      <c r="N432" t="s">
        <v>60</v>
      </c>
      <c r="O432" t="s">
        <v>54</v>
      </c>
      <c r="P432" t="s">
        <v>27</v>
      </c>
      <c r="Q432" s="2">
        <v>45055</v>
      </c>
      <c r="R432" s="13">
        <f t="shared" si="33"/>
        <v>45180</v>
      </c>
      <c r="S432" s="13">
        <f t="shared" si="34"/>
        <v>285.33066132277128</v>
      </c>
      <c r="T432" s="2">
        <v>45086.375</v>
      </c>
      <c r="U432" t="s">
        <v>42</v>
      </c>
      <c r="V432" t="s">
        <v>29</v>
      </c>
      <c r="W432" t="s">
        <v>30</v>
      </c>
      <c r="X432">
        <v>8</v>
      </c>
      <c r="Y432">
        <v>12</v>
      </c>
      <c r="Z432" t="s">
        <v>48</v>
      </c>
    </row>
    <row r="433" spans="1:26">
      <c r="A433" t="s">
        <v>490</v>
      </c>
      <c r="B433">
        <v>63</v>
      </c>
      <c r="C433" t="str">
        <f t="shared" si="30"/>
        <v>51-65</v>
      </c>
      <c r="D433" t="s">
        <v>41</v>
      </c>
      <c r="E433" s="2">
        <v>45296</v>
      </c>
      <c r="F433" s="2" t="str">
        <f t="shared" ca="1" si="31"/>
        <v>No</v>
      </c>
      <c r="G433" s="2" t="str">
        <f t="shared" si="32"/>
        <v>Jan-2024</v>
      </c>
      <c r="H433" s="2">
        <v>45448</v>
      </c>
      <c r="I433">
        <v>5</v>
      </c>
      <c r="J433" t="s">
        <v>57</v>
      </c>
      <c r="K433">
        <v>2</v>
      </c>
      <c r="L433" t="s">
        <v>46</v>
      </c>
      <c r="M433" s="9">
        <v>5372</v>
      </c>
      <c r="N433" t="s">
        <v>36</v>
      </c>
      <c r="O433" t="s">
        <v>54</v>
      </c>
      <c r="P433" t="s">
        <v>27</v>
      </c>
      <c r="Q433" s="2">
        <v>45412</v>
      </c>
      <c r="R433" s="13">
        <f t="shared" si="33"/>
        <v>480.00000000349246</v>
      </c>
      <c r="S433" s="13">
        <f t="shared" si="34"/>
        <v>275.83166332678627</v>
      </c>
      <c r="T433" s="2">
        <v>45412.333333333336</v>
      </c>
      <c r="U433" t="s">
        <v>64</v>
      </c>
      <c r="V433" t="s">
        <v>29</v>
      </c>
      <c r="W433" t="s">
        <v>43</v>
      </c>
      <c r="X433">
        <v>10</v>
      </c>
      <c r="Y433">
        <v>8</v>
      </c>
      <c r="Z433" t="s">
        <v>68</v>
      </c>
    </row>
    <row r="434" spans="1:26">
      <c r="A434" t="s">
        <v>491</v>
      </c>
      <c r="B434">
        <v>69</v>
      </c>
      <c r="C434" t="str">
        <f t="shared" si="30"/>
        <v>66+</v>
      </c>
      <c r="D434" t="s">
        <v>41</v>
      </c>
      <c r="E434" s="2">
        <v>45001</v>
      </c>
      <c r="F434" s="2" t="str">
        <f t="shared" ca="1" si="31"/>
        <v>No</v>
      </c>
      <c r="G434" s="2" t="str">
        <f t="shared" si="32"/>
        <v>Mar-2023</v>
      </c>
      <c r="H434" s="2">
        <v>45013</v>
      </c>
      <c r="I434">
        <v>12</v>
      </c>
      <c r="J434" t="s">
        <v>50</v>
      </c>
      <c r="K434">
        <v>2</v>
      </c>
      <c r="L434" t="s">
        <v>71</v>
      </c>
      <c r="M434" s="9">
        <v>27620</v>
      </c>
      <c r="N434" t="s">
        <v>67</v>
      </c>
      <c r="O434" t="s">
        <v>54</v>
      </c>
      <c r="P434" t="s">
        <v>41</v>
      </c>
      <c r="Q434" s="2">
        <v>45000</v>
      </c>
      <c r="R434" s="13">
        <f t="shared" si="33"/>
        <v>2219.9999999965075</v>
      </c>
      <c r="S434" s="13">
        <f t="shared" si="34"/>
        <v>280.28056112237044</v>
      </c>
      <c r="T434" s="2">
        <v>45001.541666666664</v>
      </c>
      <c r="U434" t="s">
        <v>55</v>
      </c>
      <c r="V434" t="s">
        <v>38</v>
      </c>
      <c r="W434" t="s">
        <v>43</v>
      </c>
      <c r="X434">
        <v>9</v>
      </c>
      <c r="Y434">
        <v>8</v>
      </c>
      <c r="Z434" t="s">
        <v>48</v>
      </c>
    </row>
    <row r="435" spans="1:26">
      <c r="A435" t="s">
        <v>492</v>
      </c>
      <c r="B435">
        <v>22</v>
      </c>
      <c r="C435" t="str">
        <f t="shared" si="30"/>
        <v>18-35</v>
      </c>
      <c r="D435" t="s">
        <v>62</v>
      </c>
      <c r="E435" s="2">
        <v>45600</v>
      </c>
      <c r="F435" s="2" t="str">
        <f t="shared" ca="1" si="31"/>
        <v>No</v>
      </c>
      <c r="G435" s="2" t="str">
        <f t="shared" si="32"/>
        <v>Nov-2024</v>
      </c>
      <c r="H435" s="2">
        <v>45399</v>
      </c>
      <c r="I435">
        <v>6</v>
      </c>
      <c r="J435" t="s">
        <v>57</v>
      </c>
      <c r="K435">
        <v>2</v>
      </c>
      <c r="L435" t="s">
        <v>46</v>
      </c>
      <c r="M435" s="9">
        <v>39112</v>
      </c>
      <c r="N435" t="s">
        <v>36</v>
      </c>
      <c r="O435" t="s">
        <v>54</v>
      </c>
      <c r="P435" t="s">
        <v>27</v>
      </c>
      <c r="Q435" s="2">
        <v>45477</v>
      </c>
      <c r="R435" s="13">
        <f t="shared" si="33"/>
        <v>480.00000000349246</v>
      </c>
      <c r="S435" s="13">
        <f t="shared" si="34"/>
        <v>281.60320641295863</v>
      </c>
      <c r="T435" s="2">
        <v>45477.333333333336</v>
      </c>
      <c r="U435" t="s">
        <v>37</v>
      </c>
      <c r="V435" t="s">
        <v>29</v>
      </c>
      <c r="W435" t="s">
        <v>43</v>
      </c>
      <c r="X435">
        <v>5</v>
      </c>
      <c r="Y435">
        <v>8</v>
      </c>
      <c r="Z435" t="s">
        <v>31</v>
      </c>
    </row>
    <row r="436" spans="1:26">
      <c r="A436" t="s">
        <v>493</v>
      </c>
      <c r="B436">
        <v>67</v>
      </c>
      <c r="C436" t="str">
        <f t="shared" si="30"/>
        <v>66+</v>
      </c>
      <c r="D436" t="s">
        <v>45</v>
      </c>
      <c r="E436" s="2">
        <v>45351</v>
      </c>
      <c r="F436" s="2" t="str">
        <f t="shared" ca="1" si="31"/>
        <v>No</v>
      </c>
      <c r="G436" s="2" t="str">
        <f t="shared" si="32"/>
        <v>Feb-2024</v>
      </c>
      <c r="H436" s="2">
        <v>45385</v>
      </c>
      <c r="I436">
        <v>4</v>
      </c>
      <c r="J436" t="s">
        <v>63</v>
      </c>
      <c r="K436">
        <v>2</v>
      </c>
      <c r="L436" t="s">
        <v>35</v>
      </c>
      <c r="M436" s="9">
        <v>13515</v>
      </c>
      <c r="N436" t="s">
        <v>60</v>
      </c>
      <c r="O436" t="s">
        <v>26</v>
      </c>
      <c r="P436" t="s">
        <v>27</v>
      </c>
      <c r="Q436" s="2">
        <v>45349</v>
      </c>
      <c r="R436" s="13">
        <f t="shared" si="33"/>
        <v>1080</v>
      </c>
      <c r="S436" s="13">
        <f t="shared" si="34"/>
        <v>283.16633266545665</v>
      </c>
      <c r="T436" s="2">
        <v>45349.75</v>
      </c>
      <c r="U436" t="s">
        <v>64</v>
      </c>
      <c r="V436" t="s">
        <v>29</v>
      </c>
      <c r="W436" t="s">
        <v>30</v>
      </c>
      <c r="X436">
        <v>11</v>
      </c>
      <c r="Y436">
        <v>8</v>
      </c>
      <c r="Z436" t="s">
        <v>31</v>
      </c>
    </row>
    <row r="437" spans="1:26">
      <c r="A437" t="s">
        <v>494</v>
      </c>
      <c r="B437">
        <v>76</v>
      </c>
      <c r="C437" t="str">
        <f t="shared" si="30"/>
        <v>66+</v>
      </c>
      <c r="D437" t="s">
        <v>41</v>
      </c>
      <c r="E437" s="2">
        <v>45126</v>
      </c>
      <c r="F437" s="2" t="str">
        <f t="shared" ca="1" si="31"/>
        <v>No</v>
      </c>
      <c r="G437" s="2" t="str">
        <f t="shared" si="32"/>
        <v>Jul-2023</v>
      </c>
      <c r="H437" s="2">
        <v>45132</v>
      </c>
      <c r="I437">
        <v>6</v>
      </c>
      <c r="J437" t="s">
        <v>50</v>
      </c>
      <c r="K437">
        <v>4</v>
      </c>
      <c r="L437" t="s">
        <v>35</v>
      </c>
      <c r="M437" s="9">
        <v>7431</v>
      </c>
      <c r="N437" t="s">
        <v>25</v>
      </c>
      <c r="O437" t="s">
        <v>54</v>
      </c>
      <c r="P437" t="s">
        <v>27</v>
      </c>
      <c r="Q437" s="2">
        <v>45122</v>
      </c>
      <c r="R437" s="13">
        <f t="shared" si="33"/>
        <v>2100.0000000034925</v>
      </c>
      <c r="S437" s="13">
        <f t="shared" si="34"/>
        <v>283.52705410834244</v>
      </c>
      <c r="T437" s="2">
        <v>45123.458333333336</v>
      </c>
      <c r="U437" t="s">
        <v>55</v>
      </c>
      <c r="V437" t="s">
        <v>29</v>
      </c>
      <c r="W437" t="s">
        <v>43</v>
      </c>
      <c r="X437">
        <v>11</v>
      </c>
      <c r="Y437">
        <v>8</v>
      </c>
      <c r="Z437" t="s">
        <v>31</v>
      </c>
    </row>
    <row r="438" spans="1:26">
      <c r="A438" t="s">
        <v>495</v>
      </c>
      <c r="B438">
        <v>26</v>
      </c>
      <c r="C438" t="str">
        <f t="shared" si="30"/>
        <v>18-35</v>
      </c>
      <c r="D438" t="s">
        <v>52</v>
      </c>
      <c r="E438" s="2">
        <v>45320</v>
      </c>
      <c r="F438" s="2" t="str">
        <f t="shared" ca="1" si="31"/>
        <v>No</v>
      </c>
      <c r="G438" s="2" t="str">
        <f t="shared" si="32"/>
        <v>Jan-2024</v>
      </c>
      <c r="H438" s="2">
        <v>45598</v>
      </c>
      <c r="I438">
        <v>13</v>
      </c>
      <c r="J438" t="s">
        <v>50</v>
      </c>
      <c r="K438">
        <v>5</v>
      </c>
      <c r="L438" t="s">
        <v>71</v>
      </c>
      <c r="M438" s="9">
        <v>26054</v>
      </c>
      <c r="N438" t="s">
        <v>60</v>
      </c>
      <c r="O438" t="s">
        <v>54</v>
      </c>
      <c r="P438" t="s">
        <v>27</v>
      </c>
      <c r="Q438" s="2">
        <v>45315</v>
      </c>
      <c r="R438" s="13">
        <f t="shared" si="33"/>
        <v>1440</v>
      </c>
      <c r="S438" s="13">
        <f t="shared" si="34"/>
        <v>-395.35070140267965</v>
      </c>
      <c r="T438" s="2">
        <v>45316</v>
      </c>
      <c r="U438" t="s">
        <v>55</v>
      </c>
      <c r="V438" t="s">
        <v>29</v>
      </c>
      <c r="W438" t="s">
        <v>43</v>
      </c>
      <c r="X438">
        <v>11</v>
      </c>
      <c r="Y438">
        <v>12</v>
      </c>
      <c r="Z438" t="s">
        <v>68</v>
      </c>
    </row>
    <row r="439" spans="1:26">
      <c r="A439" t="s">
        <v>496</v>
      </c>
      <c r="B439">
        <v>16</v>
      </c>
      <c r="C439" t="str">
        <f t="shared" si="30"/>
        <v>0-17</v>
      </c>
      <c r="D439" t="s">
        <v>33</v>
      </c>
      <c r="E439" s="2">
        <v>45433</v>
      </c>
      <c r="F439" s="2" t="str">
        <f t="shared" ca="1" si="31"/>
        <v>No</v>
      </c>
      <c r="G439" s="2" t="str">
        <f t="shared" si="32"/>
        <v>May-2024</v>
      </c>
      <c r="H439" s="2">
        <v>45436</v>
      </c>
      <c r="I439">
        <v>3</v>
      </c>
      <c r="J439" t="s">
        <v>23</v>
      </c>
      <c r="K439">
        <v>4</v>
      </c>
      <c r="L439" t="s">
        <v>66</v>
      </c>
      <c r="M439" s="9">
        <v>37624</v>
      </c>
      <c r="N439" t="s">
        <v>60</v>
      </c>
      <c r="O439" t="s">
        <v>54</v>
      </c>
      <c r="P439" t="s">
        <v>27</v>
      </c>
      <c r="Q439" s="2">
        <v>45431</v>
      </c>
      <c r="R439" s="13">
        <f t="shared" si="33"/>
        <v>2100.0000000034925</v>
      </c>
      <c r="S439" s="13">
        <f t="shared" si="34"/>
        <v>-396.07214428845117</v>
      </c>
      <c r="T439" s="2">
        <v>45432.458333333336</v>
      </c>
      <c r="U439" t="s">
        <v>28</v>
      </c>
      <c r="V439" t="s">
        <v>29</v>
      </c>
      <c r="W439" t="s">
        <v>30</v>
      </c>
      <c r="X439">
        <v>6</v>
      </c>
      <c r="Y439">
        <v>8</v>
      </c>
      <c r="Z439" t="s">
        <v>48</v>
      </c>
    </row>
    <row r="440" spans="1:26">
      <c r="A440" t="s">
        <v>497</v>
      </c>
      <c r="B440">
        <v>51</v>
      </c>
      <c r="C440" t="str">
        <f t="shared" si="30"/>
        <v>51-65</v>
      </c>
      <c r="D440" t="s">
        <v>62</v>
      </c>
      <c r="E440" s="2">
        <v>45336</v>
      </c>
      <c r="F440" s="2" t="str">
        <f t="shared" ca="1" si="31"/>
        <v>No</v>
      </c>
      <c r="G440" s="2" t="str">
        <f t="shared" si="32"/>
        <v>Feb-2024</v>
      </c>
      <c r="H440" s="2">
        <v>45338</v>
      </c>
      <c r="I440">
        <v>2</v>
      </c>
      <c r="J440" t="s">
        <v>57</v>
      </c>
      <c r="K440">
        <v>4</v>
      </c>
      <c r="L440" t="s">
        <v>46</v>
      </c>
      <c r="M440" s="9">
        <v>15585</v>
      </c>
      <c r="N440" t="s">
        <v>36</v>
      </c>
      <c r="O440" t="s">
        <v>54</v>
      </c>
      <c r="P440" t="s">
        <v>27</v>
      </c>
      <c r="Q440" s="2">
        <v>45335</v>
      </c>
      <c r="R440" s="13">
        <f t="shared" si="33"/>
        <v>180</v>
      </c>
      <c r="S440" s="13">
        <f t="shared" si="34"/>
        <v>-398.47695390769667</v>
      </c>
      <c r="T440" s="2">
        <v>45335.125</v>
      </c>
      <c r="U440" t="s">
        <v>55</v>
      </c>
      <c r="V440" t="s">
        <v>29</v>
      </c>
      <c r="W440" t="s">
        <v>47</v>
      </c>
      <c r="X440">
        <v>10</v>
      </c>
      <c r="Y440">
        <v>8</v>
      </c>
      <c r="Z440" t="s">
        <v>68</v>
      </c>
    </row>
    <row r="441" spans="1:26">
      <c r="A441" t="s">
        <v>498</v>
      </c>
      <c r="B441">
        <v>86</v>
      </c>
      <c r="C441" t="str">
        <f t="shared" si="30"/>
        <v>66+</v>
      </c>
      <c r="D441" t="s">
        <v>22</v>
      </c>
      <c r="E441" s="2">
        <v>45116</v>
      </c>
      <c r="F441" s="2" t="str">
        <f t="shared" ca="1" si="31"/>
        <v>No</v>
      </c>
      <c r="G441" s="2" t="str">
        <f t="shared" si="32"/>
        <v>Jul-2023</v>
      </c>
      <c r="H441" s="2">
        <v>45185</v>
      </c>
      <c r="I441">
        <v>9</v>
      </c>
      <c r="J441" t="s">
        <v>34</v>
      </c>
      <c r="K441">
        <v>1</v>
      </c>
      <c r="L441" t="s">
        <v>24</v>
      </c>
      <c r="M441" s="9">
        <v>36958</v>
      </c>
      <c r="N441" t="s">
        <v>67</v>
      </c>
      <c r="O441" t="s">
        <v>54</v>
      </c>
      <c r="P441" t="s">
        <v>41</v>
      </c>
      <c r="Q441" s="2">
        <v>45116</v>
      </c>
      <c r="R441" s="13">
        <f t="shared" si="33"/>
        <v>46020.000000003492</v>
      </c>
      <c r="S441" s="13">
        <f t="shared" si="34"/>
        <v>-398.2364729457658</v>
      </c>
      <c r="T441" s="2">
        <v>45147.958333333336</v>
      </c>
      <c r="U441" t="s">
        <v>64</v>
      </c>
      <c r="V441" t="s">
        <v>29</v>
      </c>
      <c r="W441" t="s">
        <v>47</v>
      </c>
      <c r="X441">
        <v>11</v>
      </c>
      <c r="Y441">
        <v>10</v>
      </c>
      <c r="Z441" t="s">
        <v>31</v>
      </c>
    </row>
    <row r="442" spans="1:26">
      <c r="A442" t="s">
        <v>499</v>
      </c>
      <c r="B442">
        <v>57</v>
      </c>
      <c r="C442" t="str">
        <f t="shared" si="30"/>
        <v>51-65</v>
      </c>
      <c r="D442" t="s">
        <v>62</v>
      </c>
      <c r="E442" s="2">
        <v>44932</v>
      </c>
      <c r="F442" s="2" t="str">
        <f t="shared" ca="1" si="31"/>
        <v>No</v>
      </c>
      <c r="G442" s="2" t="str">
        <f t="shared" si="32"/>
        <v>Jan-2023</v>
      </c>
      <c r="H442" s="2">
        <v>45266</v>
      </c>
      <c r="I442">
        <v>11</v>
      </c>
      <c r="J442" t="s">
        <v>40</v>
      </c>
      <c r="K442">
        <v>1</v>
      </c>
      <c r="L442" t="s">
        <v>71</v>
      </c>
      <c r="M442" s="9">
        <v>6695</v>
      </c>
      <c r="N442" t="s">
        <v>60</v>
      </c>
      <c r="O442" t="s">
        <v>54</v>
      </c>
      <c r="P442" t="s">
        <v>27</v>
      </c>
      <c r="Q442" s="2">
        <v>45074</v>
      </c>
      <c r="R442" s="13">
        <f t="shared" si="33"/>
        <v>1740.0000000034925</v>
      </c>
      <c r="S442" s="13">
        <f t="shared" si="34"/>
        <v>-488.89779559107041</v>
      </c>
      <c r="T442" s="2">
        <v>45075.208333333336</v>
      </c>
      <c r="U442" t="s">
        <v>42</v>
      </c>
      <c r="V442" t="s">
        <v>29</v>
      </c>
      <c r="W442" t="s">
        <v>47</v>
      </c>
      <c r="X442">
        <v>9</v>
      </c>
      <c r="Y442">
        <v>10</v>
      </c>
      <c r="Z442" t="s">
        <v>68</v>
      </c>
    </row>
    <row r="443" spans="1:26">
      <c r="A443" t="s">
        <v>500</v>
      </c>
      <c r="B443">
        <v>29</v>
      </c>
      <c r="C443" t="str">
        <f t="shared" si="30"/>
        <v>18-35</v>
      </c>
      <c r="D443" t="s">
        <v>22</v>
      </c>
      <c r="E443" s="2">
        <v>45078</v>
      </c>
      <c r="F443" s="2" t="str">
        <f t="shared" ca="1" si="31"/>
        <v>No</v>
      </c>
      <c r="G443" s="2" t="str">
        <f t="shared" si="32"/>
        <v>Jun-2023</v>
      </c>
      <c r="H443" s="2">
        <v>45139</v>
      </c>
      <c r="I443">
        <v>2</v>
      </c>
      <c r="J443" t="s">
        <v>34</v>
      </c>
      <c r="K443">
        <v>1</v>
      </c>
      <c r="L443" t="s">
        <v>24</v>
      </c>
      <c r="M443" s="9">
        <v>39675</v>
      </c>
      <c r="N443" t="s">
        <v>36</v>
      </c>
      <c r="O443" t="s">
        <v>54</v>
      </c>
      <c r="P443" t="s">
        <v>27</v>
      </c>
      <c r="Q443" s="2">
        <v>44927</v>
      </c>
      <c r="R443" s="13">
        <f t="shared" si="33"/>
        <v>45300.000000003492</v>
      </c>
      <c r="S443" s="13">
        <f t="shared" si="34"/>
        <v>-491.30260521031585</v>
      </c>
      <c r="T443" s="2">
        <v>44958.458333333336</v>
      </c>
      <c r="U443" t="s">
        <v>64</v>
      </c>
      <c r="V443" t="s">
        <v>29</v>
      </c>
      <c r="W443" t="s">
        <v>30</v>
      </c>
      <c r="X443">
        <v>5</v>
      </c>
      <c r="Y443">
        <v>12</v>
      </c>
      <c r="Z443" t="s">
        <v>31</v>
      </c>
    </row>
    <row r="444" spans="1:26">
      <c r="A444" t="s">
        <v>501</v>
      </c>
      <c r="B444">
        <v>78</v>
      </c>
      <c r="C444" t="str">
        <f t="shared" si="30"/>
        <v>66+</v>
      </c>
      <c r="D444" t="s">
        <v>62</v>
      </c>
      <c r="E444" s="2">
        <v>45036</v>
      </c>
      <c r="F444" s="2" t="str">
        <f t="shared" ca="1" si="31"/>
        <v>No</v>
      </c>
      <c r="G444" s="2" t="str">
        <f t="shared" si="32"/>
        <v>Apr-2023</v>
      </c>
      <c r="H444" s="2">
        <v>45045</v>
      </c>
      <c r="I444">
        <v>9</v>
      </c>
      <c r="J444" t="s">
        <v>57</v>
      </c>
      <c r="K444">
        <v>3</v>
      </c>
      <c r="L444" t="s">
        <v>71</v>
      </c>
      <c r="M444" s="9">
        <v>38787</v>
      </c>
      <c r="N444" t="s">
        <v>67</v>
      </c>
      <c r="O444" t="s">
        <v>54</v>
      </c>
      <c r="P444" t="s">
        <v>27</v>
      </c>
      <c r="Q444" s="2">
        <v>45032</v>
      </c>
      <c r="R444" s="13">
        <f t="shared" si="33"/>
        <v>840.00000000349246</v>
      </c>
      <c r="S444" s="13">
        <f t="shared" si="34"/>
        <v>-490.94188376743011</v>
      </c>
      <c r="T444" s="2">
        <v>45032.583333333336</v>
      </c>
      <c r="U444" t="s">
        <v>37</v>
      </c>
      <c r="V444" t="s">
        <v>29</v>
      </c>
      <c r="W444" t="s">
        <v>30</v>
      </c>
      <c r="X444">
        <v>9</v>
      </c>
      <c r="Y444">
        <v>12</v>
      </c>
      <c r="Z444" t="s">
        <v>31</v>
      </c>
    </row>
    <row r="445" spans="1:26">
      <c r="A445" t="s">
        <v>502</v>
      </c>
      <c r="B445">
        <v>69</v>
      </c>
      <c r="C445" t="str">
        <f t="shared" si="30"/>
        <v>66+</v>
      </c>
      <c r="D445" t="s">
        <v>22</v>
      </c>
      <c r="E445" s="2">
        <v>45599</v>
      </c>
      <c r="F445" s="2" t="str">
        <f t="shared" ca="1" si="31"/>
        <v>No</v>
      </c>
      <c r="G445" s="2" t="str">
        <f t="shared" si="32"/>
        <v>Nov-2024</v>
      </c>
      <c r="H445" s="2">
        <v>45371</v>
      </c>
      <c r="I445">
        <v>9</v>
      </c>
      <c r="J445" t="s">
        <v>40</v>
      </c>
      <c r="K445">
        <v>1</v>
      </c>
      <c r="L445" t="s">
        <v>66</v>
      </c>
      <c r="M445" s="9">
        <v>49225</v>
      </c>
      <c r="N445" t="s">
        <v>25</v>
      </c>
      <c r="O445" t="s">
        <v>26</v>
      </c>
      <c r="P445" t="s">
        <v>41</v>
      </c>
      <c r="Q445" s="2">
        <v>45568</v>
      </c>
      <c r="R445" s="13">
        <f t="shared" si="33"/>
        <v>44879.999999996508</v>
      </c>
      <c r="S445" s="13">
        <f t="shared" si="34"/>
        <v>-491.78356713417753</v>
      </c>
      <c r="T445" s="2">
        <v>45599.166666666664</v>
      </c>
      <c r="U445" t="s">
        <v>55</v>
      </c>
      <c r="V445" t="s">
        <v>29</v>
      </c>
      <c r="W445" t="s">
        <v>47</v>
      </c>
      <c r="X445">
        <v>10</v>
      </c>
      <c r="Y445">
        <v>10</v>
      </c>
      <c r="Z445" t="s">
        <v>31</v>
      </c>
    </row>
    <row r="446" spans="1:26">
      <c r="A446" t="s">
        <v>503</v>
      </c>
      <c r="B446">
        <v>47</v>
      </c>
      <c r="C446" t="str">
        <f t="shared" si="30"/>
        <v>36-50</v>
      </c>
      <c r="D446" t="s">
        <v>41</v>
      </c>
      <c r="E446" s="2">
        <v>45151</v>
      </c>
      <c r="F446" s="2" t="str">
        <f t="shared" ca="1" si="31"/>
        <v>No</v>
      </c>
      <c r="G446" s="2" t="str">
        <f t="shared" si="32"/>
        <v>Aug-2023</v>
      </c>
      <c r="H446" s="2">
        <v>45155</v>
      </c>
      <c r="I446">
        <v>4</v>
      </c>
      <c r="J446" t="s">
        <v>34</v>
      </c>
      <c r="K446">
        <v>5</v>
      </c>
      <c r="L446" t="s">
        <v>66</v>
      </c>
      <c r="M446" s="9">
        <v>6403</v>
      </c>
      <c r="N446" t="s">
        <v>25</v>
      </c>
      <c r="O446" t="s">
        <v>54</v>
      </c>
      <c r="P446" t="s">
        <v>27</v>
      </c>
      <c r="Q446" s="2">
        <v>45268</v>
      </c>
      <c r="R446" s="13">
        <f t="shared" si="33"/>
        <v>419.99999999650754</v>
      </c>
      <c r="S446" s="13">
        <f t="shared" si="34"/>
        <v>-580.52104208407729</v>
      </c>
      <c r="T446" s="2">
        <v>45268.291666666664</v>
      </c>
      <c r="U446" t="s">
        <v>55</v>
      </c>
      <c r="V446" t="s">
        <v>29</v>
      </c>
      <c r="W446" t="s">
        <v>43</v>
      </c>
      <c r="X446">
        <v>4</v>
      </c>
      <c r="Y446">
        <v>10</v>
      </c>
      <c r="Z446" t="s">
        <v>48</v>
      </c>
    </row>
    <row r="447" spans="1:26">
      <c r="A447" t="s">
        <v>504</v>
      </c>
      <c r="B447">
        <v>62</v>
      </c>
      <c r="C447" t="str">
        <f t="shared" si="30"/>
        <v>51-65</v>
      </c>
      <c r="D447" t="s">
        <v>45</v>
      </c>
      <c r="E447" s="2">
        <v>45107</v>
      </c>
      <c r="F447" s="2" t="str">
        <f t="shared" ca="1" si="31"/>
        <v>No</v>
      </c>
      <c r="G447" s="2" t="str">
        <f t="shared" si="32"/>
        <v>Jun-2023</v>
      </c>
      <c r="H447" s="2">
        <v>45122</v>
      </c>
      <c r="I447">
        <v>15</v>
      </c>
      <c r="J447" t="s">
        <v>23</v>
      </c>
      <c r="K447">
        <v>4</v>
      </c>
      <c r="L447" t="s">
        <v>66</v>
      </c>
      <c r="M447" s="9">
        <v>22810</v>
      </c>
      <c r="N447" t="s">
        <v>53</v>
      </c>
      <c r="O447" t="s">
        <v>26</v>
      </c>
      <c r="P447" t="s">
        <v>27</v>
      </c>
      <c r="Q447" s="2">
        <v>45107</v>
      </c>
      <c r="R447" s="13">
        <f t="shared" si="33"/>
        <v>-205920</v>
      </c>
      <c r="S447" s="13">
        <f t="shared" si="34"/>
        <v>-580.52104208407729</v>
      </c>
      <c r="T447" s="2">
        <v>44964</v>
      </c>
      <c r="U447" t="s">
        <v>55</v>
      </c>
      <c r="V447" t="s">
        <v>29</v>
      </c>
      <c r="W447" t="s">
        <v>47</v>
      </c>
      <c r="X447">
        <v>5</v>
      </c>
      <c r="Y447">
        <v>8</v>
      </c>
      <c r="Z447" t="s">
        <v>48</v>
      </c>
    </row>
    <row r="448" spans="1:26">
      <c r="A448" t="s">
        <v>505</v>
      </c>
      <c r="B448">
        <v>69</v>
      </c>
      <c r="C448" t="str">
        <f t="shared" si="30"/>
        <v>66+</v>
      </c>
      <c r="D448" t="s">
        <v>22</v>
      </c>
      <c r="E448" s="2">
        <v>45457</v>
      </c>
      <c r="F448" s="2" t="str">
        <f t="shared" ca="1" si="31"/>
        <v>No</v>
      </c>
      <c r="G448" s="2" t="str">
        <f t="shared" si="32"/>
        <v>Jun-2024</v>
      </c>
      <c r="H448" s="2">
        <v>45470</v>
      </c>
      <c r="I448">
        <v>13</v>
      </c>
      <c r="J448" t="s">
        <v>40</v>
      </c>
      <c r="K448">
        <v>5</v>
      </c>
      <c r="L448" t="s">
        <v>66</v>
      </c>
      <c r="M448" s="9">
        <v>13855</v>
      </c>
      <c r="N448" t="s">
        <v>36</v>
      </c>
      <c r="O448" t="s">
        <v>54</v>
      </c>
      <c r="P448" t="s">
        <v>41</v>
      </c>
      <c r="Q448" s="2">
        <v>45541</v>
      </c>
      <c r="R448" s="13">
        <f t="shared" si="33"/>
        <v>44280</v>
      </c>
      <c r="S448" s="13">
        <f t="shared" si="34"/>
        <v>-166.53306613216654</v>
      </c>
      <c r="T448" s="2">
        <v>45571.75</v>
      </c>
      <c r="U448" t="s">
        <v>55</v>
      </c>
      <c r="V448" t="s">
        <v>29</v>
      </c>
      <c r="W448" t="s">
        <v>30</v>
      </c>
      <c r="X448">
        <v>5</v>
      </c>
      <c r="Y448">
        <v>8</v>
      </c>
      <c r="Z448" t="s">
        <v>31</v>
      </c>
    </row>
    <row r="449" spans="1:26">
      <c r="A449" t="s">
        <v>506</v>
      </c>
      <c r="B449">
        <v>76</v>
      </c>
      <c r="C449" t="str">
        <f t="shared" si="30"/>
        <v>66+</v>
      </c>
      <c r="D449" t="s">
        <v>22</v>
      </c>
      <c r="E449" s="2">
        <v>45402</v>
      </c>
      <c r="F449" s="2" t="str">
        <f t="shared" ca="1" si="31"/>
        <v>No</v>
      </c>
      <c r="G449" s="2" t="str">
        <f t="shared" si="32"/>
        <v>Apr-2024</v>
      </c>
      <c r="H449" s="2">
        <v>45408</v>
      </c>
      <c r="I449">
        <v>6</v>
      </c>
      <c r="J449" t="s">
        <v>50</v>
      </c>
      <c r="K449">
        <v>1</v>
      </c>
      <c r="L449" t="s">
        <v>35</v>
      </c>
      <c r="M449" s="9">
        <v>43636</v>
      </c>
      <c r="N449" t="s">
        <v>67</v>
      </c>
      <c r="O449" t="s">
        <v>54</v>
      </c>
      <c r="P449" t="s">
        <v>27</v>
      </c>
      <c r="Q449" s="2">
        <v>45398</v>
      </c>
      <c r="R449" s="13">
        <f t="shared" si="33"/>
        <v>959.99999999650754</v>
      </c>
      <c r="S449" s="13">
        <f t="shared" si="34"/>
        <v>-251.78356713416355</v>
      </c>
      <c r="T449" s="2">
        <v>45398.666666666664</v>
      </c>
      <c r="U449" t="s">
        <v>28</v>
      </c>
      <c r="V449" t="s">
        <v>29</v>
      </c>
      <c r="W449" t="s">
        <v>43</v>
      </c>
      <c r="X449">
        <v>9</v>
      </c>
      <c r="Y449">
        <v>12</v>
      </c>
      <c r="Z449" t="s">
        <v>68</v>
      </c>
    </row>
    <row r="450" spans="1:26">
      <c r="A450" t="s">
        <v>507</v>
      </c>
      <c r="B450">
        <v>16</v>
      </c>
      <c r="C450" t="str">
        <f t="shared" si="30"/>
        <v>0-17</v>
      </c>
      <c r="D450" t="s">
        <v>52</v>
      </c>
      <c r="E450" s="2">
        <v>44978</v>
      </c>
      <c r="F450" s="2" t="str">
        <f t="shared" ca="1" si="31"/>
        <v>No</v>
      </c>
      <c r="G450" s="2" t="str">
        <f t="shared" si="32"/>
        <v>Feb-2023</v>
      </c>
      <c r="H450" s="2">
        <v>44984</v>
      </c>
      <c r="I450">
        <v>6</v>
      </c>
      <c r="J450" t="s">
        <v>34</v>
      </c>
      <c r="K450">
        <v>3</v>
      </c>
      <c r="L450" t="s">
        <v>35</v>
      </c>
      <c r="M450" s="9">
        <v>15839</v>
      </c>
      <c r="N450" t="s">
        <v>60</v>
      </c>
      <c r="O450" t="s">
        <v>54</v>
      </c>
      <c r="P450" t="s">
        <v>41</v>
      </c>
      <c r="Q450" s="2">
        <v>44977</v>
      </c>
      <c r="R450" s="13">
        <f t="shared" si="33"/>
        <v>1200.0000000034925</v>
      </c>
      <c r="S450" s="13">
        <f t="shared" si="34"/>
        <v>-250.10020040068963</v>
      </c>
      <c r="T450" s="2">
        <v>44977.833333333336</v>
      </c>
      <c r="U450" t="s">
        <v>28</v>
      </c>
      <c r="V450" t="s">
        <v>29</v>
      </c>
      <c r="W450" t="s">
        <v>43</v>
      </c>
      <c r="X450">
        <v>7</v>
      </c>
      <c r="Y450">
        <v>10</v>
      </c>
      <c r="Z450" t="s">
        <v>68</v>
      </c>
    </row>
    <row r="451" spans="1:26">
      <c r="A451" t="s">
        <v>508</v>
      </c>
      <c r="B451">
        <v>48</v>
      </c>
      <c r="C451" t="str">
        <f t="shared" ref="C451:C514" si="35">IF(B451&lt;18,"0-17",IF(B451&lt;=35,"18-35",IF(B451&lt;=50,"36-50",IF(B451&lt;=65,"51-65","66+"))))</f>
        <v>36-50</v>
      </c>
      <c r="D451" t="s">
        <v>22</v>
      </c>
      <c r="E451" s="2">
        <v>45182</v>
      </c>
      <c r="F451" s="2" t="str">
        <f t="shared" ref="F451:F514" ca="1" si="36">IF(E451&gt;=EDATE(TODAY(),-12),"Yes","No")</f>
        <v>No</v>
      </c>
      <c r="G451" s="2" t="str">
        <f t="shared" ref="G451:G514" si="37">TEXT(E451,"mmm-yyyy")</f>
        <v>Sep-2023</v>
      </c>
      <c r="H451" s="2">
        <v>45194</v>
      </c>
      <c r="I451">
        <v>12</v>
      </c>
      <c r="J451" t="s">
        <v>40</v>
      </c>
      <c r="K451">
        <v>3</v>
      </c>
      <c r="L451" t="s">
        <v>46</v>
      </c>
      <c r="M451" s="9">
        <v>5010</v>
      </c>
      <c r="N451" t="s">
        <v>25</v>
      </c>
      <c r="O451" t="s">
        <v>54</v>
      </c>
      <c r="P451" t="s">
        <v>27</v>
      </c>
      <c r="Q451" s="2">
        <v>45147</v>
      </c>
      <c r="R451" s="13">
        <f t="shared" ref="R451:R514" si="38">(T451-Q451)*1440</f>
        <v>180</v>
      </c>
      <c r="S451" s="13">
        <f t="shared" ref="S451:S514" si="39">AVERAGE(R451:R949)</f>
        <v>-249.97995991973468</v>
      </c>
      <c r="T451" s="2">
        <v>45147.125</v>
      </c>
      <c r="U451" t="s">
        <v>42</v>
      </c>
      <c r="V451" t="s">
        <v>29</v>
      </c>
      <c r="W451" t="s">
        <v>30</v>
      </c>
      <c r="X451">
        <v>10</v>
      </c>
      <c r="Y451">
        <v>12</v>
      </c>
      <c r="Z451" t="s">
        <v>48</v>
      </c>
    </row>
    <row r="452" spans="1:26">
      <c r="A452" t="s">
        <v>509</v>
      </c>
      <c r="B452">
        <v>85</v>
      </c>
      <c r="C452" t="str">
        <f t="shared" si="35"/>
        <v>66+</v>
      </c>
      <c r="D452" t="s">
        <v>52</v>
      </c>
      <c r="E452" s="2">
        <v>45051</v>
      </c>
      <c r="F452" s="2" t="str">
        <f t="shared" ca="1" si="36"/>
        <v>No</v>
      </c>
      <c r="G452" s="2" t="str">
        <f t="shared" si="37"/>
        <v>May-2023</v>
      </c>
      <c r="H452" s="2">
        <v>45065</v>
      </c>
      <c r="I452">
        <v>14</v>
      </c>
      <c r="J452" t="s">
        <v>23</v>
      </c>
      <c r="K452">
        <v>4</v>
      </c>
      <c r="L452" t="s">
        <v>24</v>
      </c>
      <c r="M452" s="9">
        <v>44098</v>
      </c>
      <c r="N452" t="s">
        <v>67</v>
      </c>
      <c r="O452" t="s">
        <v>26</v>
      </c>
      <c r="P452" t="s">
        <v>27</v>
      </c>
      <c r="Q452" s="2">
        <v>45021</v>
      </c>
      <c r="R452" s="13">
        <f t="shared" si="38"/>
        <v>43500.000000003492</v>
      </c>
      <c r="S452" s="13">
        <f t="shared" si="39"/>
        <v>-163.40681362714952</v>
      </c>
      <c r="T452" s="2">
        <v>45051.208333333336</v>
      </c>
      <c r="U452" t="s">
        <v>55</v>
      </c>
      <c r="V452" t="s">
        <v>29</v>
      </c>
      <c r="W452" t="s">
        <v>43</v>
      </c>
      <c r="X452">
        <v>11</v>
      </c>
      <c r="Y452">
        <v>8</v>
      </c>
      <c r="Z452" t="s">
        <v>31</v>
      </c>
    </row>
    <row r="453" spans="1:26">
      <c r="A453" t="s">
        <v>510</v>
      </c>
      <c r="B453">
        <v>39</v>
      </c>
      <c r="C453" t="str">
        <f t="shared" si="35"/>
        <v>36-50</v>
      </c>
      <c r="D453" t="s">
        <v>33</v>
      </c>
      <c r="E453" s="2">
        <v>45630</v>
      </c>
      <c r="F453" s="2" t="str">
        <f t="shared" ca="1" si="36"/>
        <v>No</v>
      </c>
      <c r="G453" s="2" t="str">
        <f t="shared" si="37"/>
        <v>Dec-2024</v>
      </c>
      <c r="H453" s="2">
        <v>45405</v>
      </c>
      <c r="I453">
        <v>11</v>
      </c>
      <c r="J453" t="s">
        <v>40</v>
      </c>
      <c r="K453">
        <v>5</v>
      </c>
      <c r="L453" t="s">
        <v>71</v>
      </c>
      <c r="M453" s="9">
        <v>14230</v>
      </c>
      <c r="N453" t="s">
        <v>36</v>
      </c>
      <c r="O453" t="s">
        <v>26</v>
      </c>
      <c r="P453" t="s">
        <v>27</v>
      </c>
      <c r="Q453" s="2">
        <v>45630</v>
      </c>
      <c r="R453" s="13">
        <f t="shared" si="38"/>
        <v>1020.0000000034925</v>
      </c>
      <c r="S453" s="13">
        <f t="shared" si="39"/>
        <v>-249.61923847684892</v>
      </c>
      <c r="T453" s="2">
        <v>45630.708333333336</v>
      </c>
      <c r="U453" t="s">
        <v>37</v>
      </c>
      <c r="V453" t="s">
        <v>29</v>
      </c>
      <c r="W453" t="s">
        <v>47</v>
      </c>
      <c r="X453">
        <v>7</v>
      </c>
      <c r="Y453">
        <v>12</v>
      </c>
      <c r="Z453" t="s">
        <v>68</v>
      </c>
    </row>
    <row r="454" spans="1:26">
      <c r="A454" t="s">
        <v>511</v>
      </c>
      <c r="B454">
        <v>33</v>
      </c>
      <c r="C454" t="str">
        <f t="shared" si="35"/>
        <v>18-35</v>
      </c>
      <c r="D454" t="s">
        <v>41</v>
      </c>
      <c r="E454" s="2">
        <v>45063</v>
      </c>
      <c r="F454" s="2" t="str">
        <f t="shared" ca="1" si="36"/>
        <v>No</v>
      </c>
      <c r="G454" s="2" t="str">
        <f t="shared" si="37"/>
        <v>May-2023</v>
      </c>
      <c r="H454" s="2">
        <v>45077</v>
      </c>
      <c r="I454">
        <v>14</v>
      </c>
      <c r="J454" t="s">
        <v>40</v>
      </c>
      <c r="K454">
        <v>2</v>
      </c>
      <c r="L454" t="s">
        <v>71</v>
      </c>
      <c r="M454" s="9">
        <v>45232</v>
      </c>
      <c r="N454" t="s">
        <v>53</v>
      </c>
      <c r="O454" t="s">
        <v>54</v>
      </c>
      <c r="P454" t="s">
        <v>41</v>
      </c>
      <c r="Q454" s="2">
        <v>45063</v>
      </c>
      <c r="R454" s="13">
        <f t="shared" si="38"/>
        <v>1380.0000000034925</v>
      </c>
      <c r="S454" s="13">
        <f t="shared" si="39"/>
        <v>-501.40280561111746</v>
      </c>
      <c r="T454" s="2">
        <v>45063.958333333336</v>
      </c>
      <c r="U454" t="s">
        <v>42</v>
      </c>
      <c r="V454" t="s">
        <v>29</v>
      </c>
      <c r="W454" t="s">
        <v>30</v>
      </c>
      <c r="X454">
        <v>8</v>
      </c>
      <c r="Y454">
        <v>12</v>
      </c>
      <c r="Z454" t="s">
        <v>31</v>
      </c>
    </row>
    <row r="455" spans="1:26">
      <c r="A455" t="s">
        <v>512</v>
      </c>
      <c r="B455">
        <v>23</v>
      </c>
      <c r="C455" t="str">
        <f t="shared" si="35"/>
        <v>18-35</v>
      </c>
      <c r="D455" t="s">
        <v>52</v>
      </c>
      <c r="E455" s="2">
        <v>45402</v>
      </c>
      <c r="F455" s="2" t="str">
        <f t="shared" ca="1" si="36"/>
        <v>No</v>
      </c>
      <c r="G455" s="2" t="str">
        <f t="shared" si="37"/>
        <v>Apr-2024</v>
      </c>
      <c r="H455" s="2">
        <v>45405</v>
      </c>
      <c r="I455">
        <v>3</v>
      </c>
      <c r="J455" t="s">
        <v>23</v>
      </c>
      <c r="K455">
        <v>5</v>
      </c>
      <c r="L455" t="s">
        <v>35</v>
      </c>
      <c r="M455" s="9">
        <v>40771</v>
      </c>
      <c r="N455" t="s">
        <v>25</v>
      </c>
      <c r="O455" t="s">
        <v>54</v>
      </c>
      <c r="P455" t="s">
        <v>27</v>
      </c>
      <c r="Q455" s="2">
        <v>45399</v>
      </c>
      <c r="R455" s="13">
        <f t="shared" si="38"/>
        <v>360</v>
      </c>
      <c r="S455" s="13">
        <f t="shared" si="39"/>
        <v>-501.40280561111746</v>
      </c>
      <c r="T455" s="2">
        <v>45399.25</v>
      </c>
      <c r="U455" t="s">
        <v>55</v>
      </c>
      <c r="V455" t="s">
        <v>29</v>
      </c>
      <c r="W455" t="s">
        <v>30</v>
      </c>
      <c r="X455">
        <v>11</v>
      </c>
      <c r="Y455">
        <v>12</v>
      </c>
      <c r="Z455" t="s">
        <v>68</v>
      </c>
    </row>
    <row r="456" spans="1:26">
      <c r="A456" t="s">
        <v>513</v>
      </c>
      <c r="B456">
        <v>10</v>
      </c>
      <c r="C456" t="str">
        <f t="shared" si="35"/>
        <v>0-17</v>
      </c>
      <c r="D456" t="s">
        <v>45</v>
      </c>
      <c r="E456" s="2">
        <v>45251</v>
      </c>
      <c r="F456" s="2" t="str">
        <f t="shared" ca="1" si="36"/>
        <v>No</v>
      </c>
      <c r="G456" s="2" t="str">
        <f t="shared" si="37"/>
        <v>Nov-2023</v>
      </c>
      <c r="H456" s="2">
        <v>45255</v>
      </c>
      <c r="I456">
        <v>4</v>
      </c>
      <c r="J456" t="s">
        <v>34</v>
      </c>
      <c r="K456">
        <v>1</v>
      </c>
      <c r="L456" t="s">
        <v>71</v>
      </c>
      <c r="M456" s="9">
        <v>34256</v>
      </c>
      <c r="N456" t="s">
        <v>67</v>
      </c>
      <c r="O456" t="s">
        <v>54</v>
      </c>
      <c r="P456" t="s">
        <v>41</v>
      </c>
      <c r="Q456" s="2">
        <v>45249</v>
      </c>
      <c r="R456" s="13">
        <f t="shared" si="38"/>
        <v>1740.0000000034925</v>
      </c>
      <c r="S456" s="13">
        <f t="shared" si="39"/>
        <v>-500.44088176341506</v>
      </c>
      <c r="T456" s="2">
        <v>45250.208333333336</v>
      </c>
      <c r="U456" t="s">
        <v>28</v>
      </c>
      <c r="V456" t="s">
        <v>29</v>
      </c>
      <c r="W456" t="s">
        <v>30</v>
      </c>
      <c r="X456">
        <v>4</v>
      </c>
      <c r="Y456">
        <v>8</v>
      </c>
      <c r="Z456" t="s">
        <v>48</v>
      </c>
    </row>
    <row r="457" spans="1:26">
      <c r="A457" t="s">
        <v>514</v>
      </c>
      <c r="B457">
        <v>69</v>
      </c>
      <c r="C457" t="str">
        <f t="shared" si="35"/>
        <v>66+</v>
      </c>
      <c r="D457" t="s">
        <v>41</v>
      </c>
      <c r="E457" s="2">
        <v>45380</v>
      </c>
      <c r="F457" s="2" t="str">
        <f t="shared" ca="1" si="36"/>
        <v>No</v>
      </c>
      <c r="G457" s="2" t="str">
        <f t="shared" si="37"/>
        <v>Mar-2024</v>
      </c>
      <c r="H457" s="2">
        <v>45382</v>
      </c>
      <c r="I457">
        <v>2</v>
      </c>
      <c r="J457" t="s">
        <v>63</v>
      </c>
      <c r="K457">
        <v>2</v>
      </c>
      <c r="L457" t="s">
        <v>35</v>
      </c>
      <c r="M457" s="9">
        <v>30651</v>
      </c>
      <c r="N457" t="s">
        <v>67</v>
      </c>
      <c r="O457" t="s">
        <v>54</v>
      </c>
      <c r="P457" t="s">
        <v>41</v>
      </c>
      <c r="Q457" s="2">
        <v>45375</v>
      </c>
      <c r="R457" s="13">
        <f t="shared" si="38"/>
        <v>480.00000000349246</v>
      </c>
      <c r="S457" s="13">
        <f t="shared" si="39"/>
        <v>-413.86773547082993</v>
      </c>
      <c r="T457" s="2">
        <v>45375.333333333336</v>
      </c>
      <c r="U457" t="s">
        <v>37</v>
      </c>
      <c r="V457" t="s">
        <v>29</v>
      </c>
      <c r="W457" t="s">
        <v>30</v>
      </c>
      <c r="X457">
        <v>7</v>
      </c>
      <c r="Y457">
        <v>12</v>
      </c>
      <c r="Z457" t="s">
        <v>31</v>
      </c>
    </row>
    <row r="458" spans="1:26">
      <c r="A458" t="s">
        <v>515</v>
      </c>
      <c r="B458">
        <v>34</v>
      </c>
      <c r="C458" t="str">
        <f t="shared" si="35"/>
        <v>18-35</v>
      </c>
      <c r="D458" t="s">
        <v>52</v>
      </c>
      <c r="E458" s="2">
        <v>45443</v>
      </c>
      <c r="F458" s="2" t="str">
        <f t="shared" ca="1" si="36"/>
        <v>No</v>
      </c>
      <c r="G458" s="2" t="str">
        <f t="shared" si="37"/>
        <v>May-2024</v>
      </c>
      <c r="H458" s="2">
        <v>45357</v>
      </c>
      <c r="I458">
        <v>3</v>
      </c>
      <c r="J458" t="s">
        <v>34</v>
      </c>
      <c r="K458">
        <v>3</v>
      </c>
      <c r="L458" t="s">
        <v>46</v>
      </c>
      <c r="M458" s="9">
        <v>37383</v>
      </c>
      <c r="N458" t="s">
        <v>67</v>
      </c>
      <c r="O458" t="s">
        <v>54</v>
      </c>
      <c r="P458" t="s">
        <v>41</v>
      </c>
      <c r="Q458" s="2">
        <v>45440</v>
      </c>
      <c r="R458" s="13">
        <f t="shared" si="38"/>
        <v>959.99999999650754</v>
      </c>
      <c r="S458" s="13">
        <f t="shared" si="39"/>
        <v>-412.42484969928682</v>
      </c>
      <c r="T458" s="2">
        <v>45440.666666666664</v>
      </c>
      <c r="U458" t="s">
        <v>42</v>
      </c>
      <c r="V458" t="s">
        <v>38</v>
      </c>
      <c r="W458" t="s">
        <v>43</v>
      </c>
      <c r="X458">
        <v>9</v>
      </c>
      <c r="Y458">
        <v>8</v>
      </c>
      <c r="Z458" t="s">
        <v>31</v>
      </c>
    </row>
    <row r="459" spans="1:26">
      <c r="A459" t="s">
        <v>516</v>
      </c>
      <c r="B459">
        <v>52</v>
      </c>
      <c r="C459" t="str">
        <f t="shared" si="35"/>
        <v>51-65</v>
      </c>
      <c r="D459" t="s">
        <v>41</v>
      </c>
      <c r="E459" s="2">
        <v>45629</v>
      </c>
      <c r="F459" s="2" t="str">
        <f t="shared" ca="1" si="36"/>
        <v>No</v>
      </c>
      <c r="G459" s="2" t="str">
        <f t="shared" si="37"/>
        <v>Dec-2024</v>
      </c>
      <c r="H459" s="2">
        <v>45368</v>
      </c>
      <c r="I459">
        <v>5</v>
      </c>
      <c r="J459" t="s">
        <v>57</v>
      </c>
      <c r="K459">
        <v>4</v>
      </c>
      <c r="L459" t="s">
        <v>24</v>
      </c>
      <c r="M459" s="9">
        <v>44963</v>
      </c>
      <c r="N459" t="s">
        <v>36</v>
      </c>
      <c r="O459" t="s">
        <v>26</v>
      </c>
      <c r="P459" t="s">
        <v>41</v>
      </c>
      <c r="Q459" s="2">
        <v>45629</v>
      </c>
      <c r="R459" s="13">
        <f t="shared" si="38"/>
        <v>840.00000000349246</v>
      </c>
      <c r="S459" s="13">
        <f t="shared" si="39"/>
        <v>-410.74148296581291</v>
      </c>
      <c r="T459" s="2">
        <v>45629.583333333336</v>
      </c>
      <c r="U459" t="s">
        <v>37</v>
      </c>
      <c r="V459" t="s">
        <v>29</v>
      </c>
      <c r="W459" t="s">
        <v>30</v>
      </c>
      <c r="X459">
        <v>10</v>
      </c>
      <c r="Y459">
        <v>10</v>
      </c>
      <c r="Z459" t="s">
        <v>68</v>
      </c>
    </row>
    <row r="460" spans="1:26">
      <c r="A460" t="s">
        <v>517</v>
      </c>
      <c r="B460">
        <v>10</v>
      </c>
      <c r="C460" t="str">
        <f t="shared" si="35"/>
        <v>0-17</v>
      </c>
      <c r="D460" t="s">
        <v>41</v>
      </c>
      <c r="E460" s="2">
        <v>45295</v>
      </c>
      <c r="F460" s="2" t="str">
        <f t="shared" ca="1" si="36"/>
        <v>No</v>
      </c>
      <c r="G460" s="2" t="str">
        <f t="shared" si="37"/>
        <v>Jan-2024</v>
      </c>
      <c r="H460" s="2">
        <v>45416</v>
      </c>
      <c r="I460">
        <v>4</v>
      </c>
      <c r="J460" t="s">
        <v>23</v>
      </c>
      <c r="K460">
        <v>4</v>
      </c>
      <c r="L460" t="s">
        <v>46</v>
      </c>
      <c r="M460" s="9">
        <v>18662</v>
      </c>
      <c r="N460" t="s">
        <v>36</v>
      </c>
      <c r="O460" t="s">
        <v>26</v>
      </c>
      <c r="P460" t="s">
        <v>27</v>
      </c>
      <c r="Q460" s="2">
        <v>45378</v>
      </c>
      <c r="R460" s="13">
        <f t="shared" si="38"/>
        <v>2880</v>
      </c>
      <c r="S460" s="13">
        <f t="shared" si="39"/>
        <v>-410.38076152292712</v>
      </c>
      <c r="T460" s="2">
        <v>45380</v>
      </c>
      <c r="U460" t="s">
        <v>55</v>
      </c>
      <c r="V460" t="s">
        <v>29</v>
      </c>
      <c r="W460" t="s">
        <v>30</v>
      </c>
      <c r="X460">
        <v>7</v>
      </c>
      <c r="Y460">
        <v>12</v>
      </c>
      <c r="Z460" t="s">
        <v>68</v>
      </c>
    </row>
    <row r="461" spans="1:26">
      <c r="A461" t="s">
        <v>518</v>
      </c>
      <c r="B461">
        <v>19</v>
      </c>
      <c r="C461" t="str">
        <f t="shared" si="35"/>
        <v>18-35</v>
      </c>
      <c r="D461" t="s">
        <v>41</v>
      </c>
      <c r="E461" s="2">
        <v>45266</v>
      </c>
      <c r="F461" s="2" t="str">
        <f t="shared" ca="1" si="36"/>
        <v>No</v>
      </c>
      <c r="G461" s="2" t="str">
        <f t="shared" si="37"/>
        <v>Dec-2023</v>
      </c>
      <c r="H461" s="2">
        <v>45092</v>
      </c>
      <c r="I461">
        <v>3</v>
      </c>
      <c r="J461" t="s">
        <v>34</v>
      </c>
      <c r="K461">
        <v>3</v>
      </c>
      <c r="L461" t="s">
        <v>66</v>
      </c>
      <c r="M461" s="9">
        <v>18739</v>
      </c>
      <c r="N461" t="s">
        <v>36</v>
      </c>
      <c r="O461" t="s">
        <v>26</v>
      </c>
      <c r="P461" t="s">
        <v>41</v>
      </c>
      <c r="Q461" s="2">
        <v>45236</v>
      </c>
      <c r="R461" s="13">
        <f t="shared" si="38"/>
        <v>44040.000000003492</v>
      </c>
      <c r="S461" s="13">
        <f t="shared" si="39"/>
        <v>-415.19038076139708</v>
      </c>
      <c r="T461" s="2">
        <v>45266.583333333336</v>
      </c>
      <c r="U461" t="s">
        <v>64</v>
      </c>
      <c r="V461" t="s">
        <v>29</v>
      </c>
      <c r="W461" t="s">
        <v>43</v>
      </c>
      <c r="X461">
        <v>8</v>
      </c>
      <c r="Y461">
        <v>12</v>
      </c>
      <c r="Z461" t="s">
        <v>68</v>
      </c>
    </row>
    <row r="462" spans="1:26">
      <c r="A462" t="s">
        <v>519</v>
      </c>
      <c r="B462">
        <v>58</v>
      </c>
      <c r="C462" t="str">
        <f t="shared" si="35"/>
        <v>51-65</v>
      </c>
      <c r="D462" t="s">
        <v>33</v>
      </c>
      <c r="E462" s="2">
        <v>45296</v>
      </c>
      <c r="F462" s="2" t="str">
        <f t="shared" ca="1" si="36"/>
        <v>No</v>
      </c>
      <c r="G462" s="2" t="str">
        <f t="shared" si="37"/>
        <v>Jan-2024</v>
      </c>
      <c r="H462" s="2">
        <v>45601</v>
      </c>
      <c r="I462">
        <v>10</v>
      </c>
      <c r="J462" t="s">
        <v>40</v>
      </c>
      <c r="K462">
        <v>1</v>
      </c>
      <c r="L462" t="s">
        <v>66</v>
      </c>
      <c r="M462" s="9">
        <v>6789</v>
      </c>
      <c r="N462" t="s">
        <v>60</v>
      </c>
      <c r="O462" t="s">
        <v>26</v>
      </c>
      <c r="P462" t="s">
        <v>27</v>
      </c>
      <c r="Q462" s="2">
        <v>45296</v>
      </c>
      <c r="R462" s="13">
        <f t="shared" si="38"/>
        <v>45900</v>
      </c>
      <c r="S462" s="13">
        <f t="shared" si="39"/>
        <v>-502.72545090168461</v>
      </c>
      <c r="T462" s="2">
        <v>45327.875</v>
      </c>
      <c r="U462" t="s">
        <v>37</v>
      </c>
      <c r="V462" t="s">
        <v>29</v>
      </c>
      <c r="W462" t="s">
        <v>30</v>
      </c>
      <c r="X462">
        <v>6</v>
      </c>
      <c r="Y462">
        <v>8</v>
      </c>
      <c r="Z462" t="s">
        <v>31</v>
      </c>
    </row>
    <row r="463" spans="1:26">
      <c r="A463" t="s">
        <v>520</v>
      </c>
      <c r="B463">
        <v>1</v>
      </c>
      <c r="C463" t="str">
        <f t="shared" si="35"/>
        <v>0-17</v>
      </c>
      <c r="D463" t="s">
        <v>45</v>
      </c>
      <c r="E463" s="2">
        <v>45416</v>
      </c>
      <c r="F463" s="2" t="str">
        <f t="shared" ca="1" si="36"/>
        <v>No</v>
      </c>
      <c r="G463" s="2" t="str">
        <f t="shared" si="37"/>
        <v>May-2024</v>
      </c>
      <c r="H463" s="2">
        <v>45508</v>
      </c>
      <c r="I463">
        <v>3</v>
      </c>
      <c r="J463" t="s">
        <v>23</v>
      </c>
      <c r="K463">
        <v>3</v>
      </c>
      <c r="L463" t="s">
        <v>66</v>
      </c>
      <c r="M463" s="9">
        <v>24420</v>
      </c>
      <c r="N463" t="s">
        <v>67</v>
      </c>
      <c r="O463" t="s">
        <v>26</v>
      </c>
      <c r="P463" t="s">
        <v>27</v>
      </c>
      <c r="Q463" s="2">
        <v>45295</v>
      </c>
      <c r="R463" s="13">
        <f t="shared" si="38"/>
        <v>1380.0000000034925</v>
      </c>
      <c r="S463" s="13">
        <f t="shared" si="39"/>
        <v>-593.38677354696824</v>
      </c>
      <c r="T463" s="2">
        <v>45295.958333333336</v>
      </c>
      <c r="U463" t="s">
        <v>37</v>
      </c>
      <c r="V463" t="s">
        <v>29</v>
      </c>
      <c r="W463" t="s">
        <v>43</v>
      </c>
      <c r="X463">
        <v>8</v>
      </c>
      <c r="Y463">
        <v>12</v>
      </c>
      <c r="Z463" t="s">
        <v>48</v>
      </c>
    </row>
    <row r="464" spans="1:26">
      <c r="A464" t="s">
        <v>521</v>
      </c>
      <c r="B464">
        <v>69</v>
      </c>
      <c r="C464" t="str">
        <f t="shared" si="35"/>
        <v>66+</v>
      </c>
      <c r="D464" t="s">
        <v>62</v>
      </c>
      <c r="E464" s="2">
        <v>45192</v>
      </c>
      <c r="F464" s="2" t="str">
        <f t="shared" ca="1" si="36"/>
        <v>No</v>
      </c>
      <c r="G464" s="2" t="str">
        <f t="shared" si="37"/>
        <v>Sep-2023</v>
      </c>
      <c r="H464" s="2">
        <v>45087</v>
      </c>
      <c r="I464">
        <v>13</v>
      </c>
      <c r="J464" t="s">
        <v>50</v>
      </c>
      <c r="K464">
        <v>1</v>
      </c>
      <c r="L464" t="s">
        <v>46</v>
      </c>
      <c r="M464" s="9">
        <v>28761</v>
      </c>
      <c r="N464" t="s">
        <v>25</v>
      </c>
      <c r="O464" t="s">
        <v>54</v>
      </c>
      <c r="P464" t="s">
        <v>27</v>
      </c>
      <c r="Q464" s="2">
        <v>45191</v>
      </c>
      <c r="R464" s="13">
        <f t="shared" si="38"/>
        <v>2759.9999999965075</v>
      </c>
      <c r="S464" s="13">
        <f t="shared" si="39"/>
        <v>-590.86172344676777</v>
      </c>
      <c r="T464" s="2">
        <v>45192.916666666664</v>
      </c>
      <c r="U464" t="s">
        <v>28</v>
      </c>
      <c r="V464" t="s">
        <v>29</v>
      </c>
      <c r="W464" t="s">
        <v>43</v>
      </c>
      <c r="X464">
        <v>5</v>
      </c>
      <c r="Y464">
        <v>8</v>
      </c>
      <c r="Z464" t="s">
        <v>48</v>
      </c>
    </row>
    <row r="465" spans="1:26">
      <c r="A465" t="s">
        <v>522</v>
      </c>
      <c r="B465">
        <v>4</v>
      </c>
      <c r="C465" t="str">
        <f t="shared" si="35"/>
        <v>0-17</v>
      </c>
      <c r="D465" t="s">
        <v>62</v>
      </c>
      <c r="E465" s="2">
        <v>45239</v>
      </c>
      <c r="F465" s="2" t="str">
        <f t="shared" ca="1" si="36"/>
        <v>No</v>
      </c>
      <c r="G465" s="2" t="str">
        <f t="shared" si="37"/>
        <v>Nov-2023</v>
      </c>
      <c r="H465" s="2">
        <v>45193</v>
      </c>
      <c r="I465">
        <v>13</v>
      </c>
      <c r="J465" t="s">
        <v>34</v>
      </c>
      <c r="K465">
        <v>2</v>
      </c>
      <c r="L465" t="s">
        <v>71</v>
      </c>
      <c r="M465" s="9">
        <v>45366</v>
      </c>
      <c r="N465" t="s">
        <v>36</v>
      </c>
      <c r="O465" t="s">
        <v>54</v>
      </c>
      <c r="P465" t="s">
        <v>27</v>
      </c>
      <c r="Q465" s="2">
        <v>45147</v>
      </c>
      <c r="R465" s="13">
        <f t="shared" si="38"/>
        <v>45599.999999996508</v>
      </c>
      <c r="S465" s="13">
        <f t="shared" si="39"/>
        <v>-593.98797595176381</v>
      </c>
      <c r="T465" s="2">
        <v>45178.666666666664</v>
      </c>
      <c r="U465" t="s">
        <v>55</v>
      </c>
      <c r="V465" t="s">
        <v>29</v>
      </c>
      <c r="W465" t="s">
        <v>30</v>
      </c>
      <c r="X465">
        <v>11</v>
      </c>
      <c r="Y465">
        <v>12</v>
      </c>
      <c r="Z465" t="s">
        <v>68</v>
      </c>
    </row>
    <row r="466" spans="1:26">
      <c r="A466" t="s">
        <v>523</v>
      </c>
      <c r="B466">
        <v>16</v>
      </c>
      <c r="C466" t="str">
        <f t="shared" si="35"/>
        <v>0-17</v>
      </c>
      <c r="D466" t="s">
        <v>52</v>
      </c>
      <c r="E466" s="2">
        <v>45240</v>
      </c>
      <c r="F466" s="2" t="str">
        <f t="shared" ca="1" si="36"/>
        <v>No</v>
      </c>
      <c r="G466" s="2" t="str">
        <f t="shared" si="37"/>
        <v>Nov-2023</v>
      </c>
      <c r="H466" s="2">
        <v>45221</v>
      </c>
      <c r="I466">
        <v>11</v>
      </c>
      <c r="J466" t="s">
        <v>23</v>
      </c>
      <c r="K466">
        <v>3</v>
      </c>
      <c r="L466" t="s">
        <v>24</v>
      </c>
      <c r="M466" s="9">
        <v>42606</v>
      </c>
      <c r="N466" t="s">
        <v>36</v>
      </c>
      <c r="O466" t="s">
        <v>54</v>
      </c>
      <c r="P466" t="s">
        <v>27</v>
      </c>
      <c r="Q466" s="2">
        <v>45087</v>
      </c>
      <c r="R466" s="13">
        <f t="shared" si="38"/>
        <v>44220.000000003492</v>
      </c>
      <c r="S466" s="13">
        <f t="shared" si="39"/>
        <v>-593.26653306599223</v>
      </c>
      <c r="T466" s="2">
        <v>45117.708333333336</v>
      </c>
      <c r="U466" t="s">
        <v>37</v>
      </c>
      <c r="V466" t="s">
        <v>38</v>
      </c>
      <c r="W466" t="s">
        <v>47</v>
      </c>
      <c r="X466">
        <v>10</v>
      </c>
      <c r="Y466">
        <v>10</v>
      </c>
      <c r="Z466" t="s">
        <v>48</v>
      </c>
    </row>
    <row r="467" spans="1:26">
      <c r="A467" t="s">
        <v>524</v>
      </c>
      <c r="B467">
        <v>24</v>
      </c>
      <c r="C467" t="str">
        <f t="shared" si="35"/>
        <v>18-35</v>
      </c>
      <c r="D467" t="s">
        <v>41</v>
      </c>
      <c r="E467" s="2">
        <v>45460</v>
      </c>
      <c r="F467" s="2" t="str">
        <f t="shared" ca="1" si="36"/>
        <v>No</v>
      </c>
      <c r="G467" s="2" t="str">
        <f t="shared" si="37"/>
        <v>Jun-2024</v>
      </c>
      <c r="H467" s="2">
        <v>45462</v>
      </c>
      <c r="I467">
        <v>2</v>
      </c>
      <c r="J467" t="s">
        <v>34</v>
      </c>
      <c r="K467">
        <v>1</v>
      </c>
      <c r="L467" t="s">
        <v>66</v>
      </c>
      <c r="M467" s="9">
        <v>43640</v>
      </c>
      <c r="N467" t="s">
        <v>67</v>
      </c>
      <c r="O467" t="s">
        <v>26</v>
      </c>
      <c r="P467" t="s">
        <v>27</v>
      </c>
      <c r="Q467" s="2">
        <v>45457</v>
      </c>
      <c r="R467" s="13">
        <f t="shared" si="38"/>
        <v>1679.9999999965075</v>
      </c>
      <c r="S467" s="13">
        <f t="shared" si="39"/>
        <v>-676.47294589165062</v>
      </c>
      <c r="T467" s="2">
        <v>45458.166666666664</v>
      </c>
      <c r="U467" t="s">
        <v>55</v>
      </c>
      <c r="V467" t="s">
        <v>29</v>
      </c>
      <c r="W467" t="s">
        <v>30</v>
      </c>
      <c r="X467">
        <v>5</v>
      </c>
      <c r="Y467">
        <v>10</v>
      </c>
      <c r="Z467" t="s">
        <v>68</v>
      </c>
    </row>
    <row r="468" spans="1:26">
      <c r="A468" t="s">
        <v>525</v>
      </c>
      <c r="B468">
        <v>80</v>
      </c>
      <c r="C468" t="str">
        <f t="shared" si="35"/>
        <v>66+</v>
      </c>
      <c r="D468" t="s">
        <v>52</v>
      </c>
      <c r="E468" s="2">
        <v>45601</v>
      </c>
      <c r="F468" s="2" t="str">
        <f t="shared" ca="1" si="36"/>
        <v>No</v>
      </c>
      <c r="G468" s="2" t="str">
        <f t="shared" si="37"/>
        <v>Nov-2024</v>
      </c>
      <c r="H468" s="2">
        <v>45426</v>
      </c>
      <c r="I468">
        <v>3</v>
      </c>
      <c r="J468" t="s">
        <v>23</v>
      </c>
      <c r="K468">
        <v>2</v>
      </c>
      <c r="L468" t="s">
        <v>66</v>
      </c>
      <c r="M468" s="9">
        <v>49135</v>
      </c>
      <c r="N468" t="s">
        <v>36</v>
      </c>
      <c r="O468" t="s">
        <v>26</v>
      </c>
      <c r="P468" t="s">
        <v>41</v>
      </c>
      <c r="Q468" s="2">
        <v>45509</v>
      </c>
      <c r="R468" s="13">
        <f t="shared" si="38"/>
        <v>660.00000000349246</v>
      </c>
      <c r="S468" s="13">
        <f t="shared" si="39"/>
        <v>-675.15030060106244</v>
      </c>
      <c r="T468" s="2">
        <v>45509.458333333336</v>
      </c>
      <c r="U468" t="s">
        <v>28</v>
      </c>
      <c r="V468" t="s">
        <v>29</v>
      </c>
      <c r="W468" t="s">
        <v>47</v>
      </c>
      <c r="X468">
        <v>7</v>
      </c>
      <c r="Y468">
        <v>10</v>
      </c>
      <c r="Z468" t="s">
        <v>48</v>
      </c>
    </row>
    <row r="469" spans="1:26">
      <c r="A469" t="s">
        <v>526</v>
      </c>
      <c r="B469">
        <v>2</v>
      </c>
      <c r="C469" t="str">
        <f t="shared" si="35"/>
        <v>0-17</v>
      </c>
      <c r="D469" t="s">
        <v>33</v>
      </c>
      <c r="E469" s="2">
        <v>44966</v>
      </c>
      <c r="F469" s="2" t="str">
        <f t="shared" ca="1" si="36"/>
        <v>No</v>
      </c>
      <c r="G469" s="2" t="str">
        <f t="shared" si="37"/>
        <v>Feb-2023</v>
      </c>
      <c r="H469" s="2">
        <v>45184</v>
      </c>
      <c r="I469">
        <v>13</v>
      </c>
      <c r="J469" t="s">
        <v>40</v>
      </c>
      <c r="K469">
        <v>3</v>
      </c>
      <c r="L469" t="s">
        <v>66</v>
      </c>
      <c r="M469" s="9">
        <v>42067</v>
      </c>
      <c r="N469" t="s">
        <v>60</v>
      </c>
      <c r="O469" t="s">
        <v>26</v>
      </c>
      <c r="P469" t="s">
        <v>27</v>
      </c>
      <c r="Q469" s="2">
        <v>45166</v>
      </c>
      <c r="R469" s="13">
        <f t="shared" si="38"/>
        <v>2399.9999999965075</v>
      </c>
      <c r="S469" s="13">
        <f t="shared" si="39"/>
        <v>-676.11222444876478</v>
      </c>
      <c r="T469" s="2">
        <v>45167.666666666664</v>
      </c>
      <c r="U469" t="s">
        <v>55</v>
      </c>
      <c r="V469" t="s">
        <v>38</v>
      </c>
      <c r="W469" t="s">
        <v>43</v>
      </c>
      <c r="X469">
        <v>7</v>
      </c>
      <c r="Y469">
        <v>12</v>
      </c>
      <c r="Z469" t="s">
        <v>31</v>
      </c>
    </row>
    <row r="470" spans="1:26">
      <c r="A470" t="s">
        <v>527</v>
      </c>
      <c r="B470">
        <v>32</v>
      </c>
      <c r="C470" t="str">
        <f t="shared" si="35"/>
        <v>18-35</v>
      </c>
      <c r="D470" t="s">
        <v>33</v>
      </c>
      <c r="E470" s="2">
        <v>45179</v>
      </c>
      <c r="F470" s="2" t="str">
        <f t="shared" ca="1" si="36"/>
        <v>No</v>
      </c>
      <c r="G470" s="2" t="str">
        <f t="shared" si="37"/>
        <v>Sep-2023</v>
      </c>
      <c r="H470" s="2">
        <v>45219</v>
      </c>
      <c r="I470">
        <v>11</v>
      </c>
      <c r="J470" t="s">
        <v>50</v>
      </c>
      <c r="K470">
        <v>4</v>
      </c>
      <c r="L470" t="s">
        <v>24</v>
      </c>
      <c r="M470" s="9">
        <v>22357</v>
      </c>
      <c r="N470" t="s">
        <v>60</v>
      </c>
      <c r="O470" t="s">
        <v>26</v>
      </c>
      <c r="P470" t="s">
        <v>41</v>
      </c>
      <c r="Q470" s="2">
        <v>45148</v>
      </c>
      <c r="R470" s="13">
        <f t="shared" si="38"/>
        <v>540</v>
      </c>
      <c r="S470" s="13">
        <f t="shared" si="39"/>
        <v>-679.23847695376082</v>
      </c>
      <c r="T470" s="2">
        <v>45148.375</v>
      </c>
      <c r="U470" t="s">
        <v>28</v>
      </c>
      <c r="V470" t="s">
        <v>29</v>
      </c>
      <c r="W470" t="s">
        <v>47</v>
      </c>
      <c r="X470">
        <v>8</v>
      </c>
      <c r="Y470">
        <v>12</v>
      </c>
      <c r="Z470" t="s">
        <v>68</v>
      </c>
    </row>
    <row r="471" spans="1:26">
      <c r="A471" t="s">
        <v>528</v>
      </c>
      <c r="B471">
        <v>84</v>
      </c>
      <c r="C471" t="str">
        <f t="shared" si="35"/>
        <v>66+</v>
      </c>
      <c r="D471" t="s">
        <v>22</v>
      </c>
      <c r="E471" s="2">
        <v>45377</v>
      </c>
      <c r="F471" s="2" t="str">
        <f t="shared" ca="1" si="36"/>
        <v>No</v>
      </c>
      <c r="G471" s="2" t="str">
        <f t="shared" si="37"/>
        <v>Mar-2024</v>
      </c>
      <c r="H471" s="2">
        <v>45355</v>
      </c>
      <c r="I471">
        <v>8</v>
      </c>
      <c r="J471" t="s">
        <v>50</v>
      </c>
      <c r="K471">
        <v>3</v>
      </c>
      <c r="L471" t="s">
        <v>66</v>
      </c>
      <c r="M471" s="9">
        <v>44851</v>
      </c>
      <c r="N471" t="s">
        <v>36</v>
      </c>
      <c r="O471" t="s">
        <v>26</v>
      </c>
      <c r="P471" t="s">
        <v>41</v>
      </c>
      <c r="Q471" s="2">
        <v>45375</v>
      </c>
      <c r="R471" s="13">
        <f t="shared" si="38"/>
        <v>840.00000000349246</v>
      </c>
      <c r="S471" s="13">
        <f t="shared" si="39"/>
        <v>-677.79559118221778</v>
      </c>
      <c r="T471" s="2">
        <v>45375.583333333336</v>
      </c>
      <c r="U471" t="s">
        <v>28</v>
      </c>
      <c r="V471" t="s">
        <v>38</v>
      </c>
      <c r="W471" t="s">
        <v>30</v>
      </c>
      <c r="X471">
        <v>8</v>
      </c>
      <c r="Y471">
        <v>10</v>
      </c>
      <c r="Z471" t="s">
        <v>48</v>
      </c>
    </row>
    <row r="472" spans="1:26">
      <c r="A472" t="s">
        <v>529</v>
      </c>
      <c r="B472">
        <v>24</v>
      </c>
      <c r="C472" t="str">
        <f t="shared" si="35"/>
        <v>18-35</v>
      </c>
      <c r="D472" t="s">
        <v>33</v>
      </c>
      <c r="E472" s="2">
        <v>45006</v>
      </c>
      <c r="F472" s="2" t="str">
        <f t="shared" ca="1" si="36"/>
        <v>No</v>
      </c>
      <c r="G472" s="2" t="str">
        <f t="shared" si="37"/>
        <v>Mar-2023</v>
      </c>
      <c r="H472" s="2">
        <v>45014</v>
      </c>
      <c r="I472">
        <v>8</v>
      </c>
      <c r="J472" t="s">
        <v>57</v>
      </c>
      <c r="K472">
        <v>5</v>
      </c>
      <c r="L472" t="s">
        <v>24</v>
      </c>
      <c r="M472" s="9">
        <v>43262</v>
      </c>
      <c r="N472" t="s">
        <v>67</v>
      </c>
      <c r="O472" t="s">
        <v>26</v>
      </c>
      <c r="P472" t="s">
        <v>41</v>
      </c>
      <c r="Q472" s="2">
        <v>45004</v>
      </c>
      <c r="R472" s="13">
        <f t="shared" si="38"/>
        <v>840.00000000349246</v>
      </c>
      <c r="S472" s="13">
        <f t="shared" si="39"/>
        <v>-678.2765531060794</v>
      </c>
      <c r="T472" s="2">
        <v>45004.583333333336</v>
      </c>
      <c r="U472" t="s">
        <v>42</v>
      </c>
      <c r="V472" t="s">
        <v>38</v>
      </c>
      <c r="W472" t="s">
        <v>30</v>
      </c>
      <c r="X472">
        <v>9</v>
      </c>
      <c r="Y472">
        <v>10</v>
      </c>
      <c r="Z472" t="s">
        <v>31</v>
      </c>
    </row>
    <row r="473" spans="1:26">
      <c r="A473" t="s">
        <v>530</v>
      </c>
      <c r="B473">
        <v>12</v>
      </c>
      <c r="C473" t="str">
        <f t="shared" si="35"/>
        <v>0-17</v>
      </c>
      <c r="D473" t="s">
        <v>22</v>
      </c>
      <c r="E473" s="2">
        <v>45219</v>
      </c>
      <c r="F473" s="2" t="str">
        <f t="shared" ca="1" si="36"/>
        <v>No</v>
      </c>
      <c r="G473" s="2" t="str">
        <f t="shared" si="37"/>
        <v>Oct-2023</v>
      </c>
      <c r="H473" s="2">
        <v>44968</v>
      </c>
      <c r="I473">
        <v>13</v>
      </c>
      <c r="J473" t="s">
        <v>23</v>
      </c>
      <c r="K473">
        <v>3</v>
      </c>
      <c r="L473" t="s">
        <v>66</v>
      </c>
      <c r="M473" s="9">
        <v>16317</v>
      </c>
      <c r="N473" t="s">
        <v>67</v>
      </c>
      <c r="O473" t="s">
        <v>54</v>
      </c>
      <c r="P473" t="s">
        <v>27</v>
      </c>
      <c r="Q473" s="2">
        <v>45217</v>
      </c>
      <c r="R473" s="13">
        <f t="shared" si="38"/>
        <v>239.99999999650754</v>
      </c>
      <c r="S473" s="13">
        <f t="shared" si="39"/>
        <v>-679.23847695378186</v>
      </c>
      <c r="T473" s="2">
        <v>45217.166666666664</v>
      </c>
      <c r="U473" t="s">
        <v>55</v>
      </c>
      <c r="V473" t="s">
        <v>29</v>
      </c>
      <c r="W473" t="s">
        <v>47</v>
      </c>
      <c r="X473">
        <v>4</v>
      </c>
      <c r="Y473">
        <v>8</v>
      </c>
      <c r="Z473" t="s">
        <v>48</v>
      </c>
    </row>
    <row r="474" spans="1:26">
      <c r="A474" t="s">
        <v>531</v>
      </c>
      <c r="B474">
        <v>50</v>
      </c>
      <c r="C474" t="str">
        <f t="shared" si="35"/>
        <v>36-50</v>
      </c>
      <c r="D474" t="s">
        <v>45</v>
      </c>
      <c r="E474" s="2">
        <v>45167</v>
      </c>
      <c r="F474" s="2" t="str">
        <f t="shared" ca="1" si="36"/>
        <v>No</v>
      </c>
      <c r="G474" s="2" t="str">
        <f t="shared" si="37"/>
        <v>Aug-2023</v>
      </c>
      <c r="H474" s="2">
        <v>45147</v>
      </c>
      <c r="I474">
        <v>10</v>
      </c>
      <c r="J474" t="s">
        <v>34</v>
      </c>
      <c r="K474">
        <v>5</v>
      </c>
      <c r="L474" t="s">
        <v>46</v>
      </c>
      <c r="M474" s="9">
        <v>26534</v>
      </c>
      <c r="N474" t="s">
        <v>67</v>
      </c>
      <c r="O474" t="s">
        <v>26</v>
      </c>
      <c r="P474" t="s">
        <v>41</v>
      </c>
      <c r="Q474" s="2">
        <v>45162</v>
      </c>
      <c r="R474" s="13">
        <f t="shared" si="38"/>
        <v>2219.9999999965075</v>
      </c>
      <c r="S474" s="13">
        <f t="shared" si="39"/>
        <v>-674.18837675338102</v>
      </c>
      <c r="T474" s="2">
        <v>45163.541666666664</v>
      </c>
      <c r="U474" t="s">
        <v>64</v>
      </c>
      <c r="V474" t="s">
        <v>29</v>
      </c>
      <c r="W474" t="s">
        <v>30</v>
      </c>
      <c r="X474">
        <v>9</v>
      </c>
      <c r="Y474">
        <v>8</v>
      </c>
      <c r="Z474" t="s">
        <v>31</v>
      </c>
    </row>
    <row r="475" spans="1:26">
      <c r="A475" t="s">
        <v>532</v>
      </c>
      <c r="B475">
        <v>35</v>
      </c>
      <c r="C475" t="str">
        <f t="shared" si="35"/>
        <v>18-35</v>
      </c>
      <c r="D475" t="s">
        <v>52</v>
      </c>
      <c r="E475" s="2">
        <v>45087</v>
      </c>
      <c r="F475" s="2" t="str">
        <f t="shared" ca="1" si="36"/>
        <v>No</v>
      </c>
      <c r="G475" s="2" t="str">
        <f t="shared" si="37"/>
        <v>Jun-2023</v>
      </c>
      <c r="H475" s="2">
        <v>45218</v>
      </c>
      <c r="I475">
        <v>13</v>
      </c>
      <c r="J475" t="s">
        <v>50</v>
      </c>
      <c r="K475">
        <v>2</v>
      </c>
      <c r="L475" t="s">
        <v>46</v>
      </c>
      <c r="M475" s="9">
        <v>30734</v>
      </c>
      <c r="N475" t="s">
        <v>53</v>
      </c>
      <c r="O475" t="s">
        <v>54</v>
      </c>
      <c r="P475" t="s">
        <v>27</v>
      </c>
      <c r="Q475" s="2">
        <v>45087</v>
      </c>
      <c r="R475" s="13">
        <f t="shared" si="38"/>
        <v>1380.0000000034925</v>
      </c>
      <c r="S475" s="13">
        <f t="shared" si="39"/>
        <v>-676.71342685358138</v>
      </c>
      <c r="T475" s="2">
        <v>45087.958333333336</v>
      </c>
      <c r="U475" t="s">
        <v>42</v>
      </c>
      <c r="V475" t="s">
        <v>29</v>
      </c>
      <c r="W475" t="s">
        <v>47</v>
      </c>
      <c r="X475">
        <v>5</v>
      </c>
      <c r="Y475">
        <v>10</v>
      </c>
      <c r="Z475" t="s">
        <v>31</v>
      </c>
    </row>
    <row r="476" spans="1:26">
      <c r="A476" t="s">
        <v>533</v>
      </c>
      <c r="B476">
        <v>33</v>
      </c>
      <c r="C476" t="str">
        <f t="shared" si="35"/>
        <v>18-35</v>
      </c>
      <c r="D476" t="s">
        <v>45</v>
      </c>
      <c r="E476" s="2">
        <v>45211</v>
      </c>
      <c r="F476" s="2" t="str">
        <f t="shared" ca="1" si="36"/>
        <v>No</v>
      </c>
      <c r="G476" s="2" t="str">
        <f t="shared" si="37"/>
        <v>Oct-2023</v>
      </c>
      <c r="H476" s="2">
        <v>45280</v>
      </c>
      <c r="I476">
        <v>10</v>
      </c>
      <c r="J476" t="s">
        <v>50</v>
      </c>
      <c r="K476">
        <v>3</v>
      </c>
      <c r="L476" t="s">
        <v>24</v>
      </c>
      <c r="M476" s="9">
        <v>40897</v>
      </c>
      <c r="N476" t="s">
        <v>36</v>
      </c>
      <c r="O476" t="s">
        <v>54</v>
      </c>
      <c r="P476" t="s">
        <v>41</v>
      </c>
      <c r="Q476" s="2">
        <v>45211</v>
      </c>
      <c r="R476" s="13">
        <f t="shared" si="38"/>
        <v>45300.000000003492</v>
      </c>
      <c r="S476" s="13">
        <f t="shared" si="39"/>
        <v>-676.71342685358138</v>
      </c>
      <c r="T476" s="2">
        <v>45242.458333333336</v>
      </c>
      <c r="U476" t="s">
        <v>28</v>
      </c>
      <c r="V476" t="s">
        <v>29</v>
      </c>
      <c r="W476" t="s">
        <v>43</v>
      </c>
      <c r="X476">
        <v>9</v>
      </c>
      <c r="Y476">
        <v>10</v>
      </c>
      <c r="Z476" t="s">
        <v>48</v>
      </c>
    </row>
    <row r="477" spans="1:26">
      <c r="A477" t="s">
        <v>534</v>
      </c>
      <c r="B477">
        <v>33</v>
      </c>
      <c r="C477" t="str">
        <f t="shared" si="35"/>
        <v>18-35</v>
      </c>
      <c r="D477" t="s">
        <v>33</v>
      </c>
      <c r="E477" s="2">
        <v>45254</v>
      </c>
      <c r="F477" s="2" t="str">
        <f t="shared" ca="1" si="36"/>
        <v>No</v>
      </c>
      <c r="G477" s="2" t="str">
        <f t="shared" si="37"/>
        <v>Nov-2023</v>
      </c>
      <c r="H477" s="2">
        <v>44969</v>
      </c>
      <c r="I477">
        <v>8</v>
      </c>
      <c r="J477" t="s">
        <v>63</v>
      </c>
      <c r="K477">
        <v>2</v>
      </c>
      <c r="L477" t="s">
        <v>46</v>
      </c>
      <c r="M477" s="9">
        <v>37872</v>
      </c>
      <c r="N477" t="s">
        <v>67</v>
      </c>
      <c r="O477" t="s">
        <v>26</v>
      </c>
      <c r="P477" t="s">
        <v>27</v>
      </c>
      <c r="Q477" s="2">
        <v>45249</v>
      </c>
      <c r="R477" s="13">
        <f t="shared" si="38"/>
        <v>1080</v>
      </c>
      <c r="S477" s="13">
        <f t="shared" si="39"/>
        <v>-677.7955911822387</v>
      </c>
      <c r="T477" s="2">
        <v>45249.75</v>
      </c>
      <c r="U477" t="s">
        <v>64</v>
      </c>
      <c r="V477" t="s">
        <v>38</v>
      </c>
      <c r="W477" t="s">
        <v>47</v>
      </c>
      <c r="X477">
        <v>8</v>
      </c>
      <c r="Y477">
        <v>12</v>
      </c>
      <c r="Z477" t="s">
        <v>48</v>
      </c>
    </row>
    <row r="478" spans="1:26">
      <c r="A478" t="s">
        <v>535</v>
      </c>
      <c r="B478">
        <v>61</v>
      </c>
      <c r="C478" t="str">
        <f t="shared" si="35"/>
        <v>51-65</v>
      </c>
      <c r="D478" t="s">
        <v>45</v>
      </c>
      <c r="E478" s="2">
        <v>45009</v>
      </c>
      <c r="F478" s="2" t="str">
        <f t="shared" ca="1" si="36"/>
        <v>No</v>
      </c>
      <c r="G478" s="2" t="str">
        <f t="shared" si="37"/>
        <v>Mar-2023</v>
      </c>
      <c r="H478" s="2">
        <v>45020</v>
      </c>
      <c r="I478">
        <v>11</v>
      </c>
      <c r="J478" t="s">
        <v>63</v>
      </c>
      <c r="K478">
        <v>2</v>
      </c>
      <c r="L478" t="s">
        <v>24</v>
      </c>
      <c r="M478" s="9">
        <v>45201</v>
      </c>
      <c r="N478" t="s">
        <v>60</v>
      </c>
      <c r="O478" t="s">
        <v>26</v>
      </c>
      <c r="P478" t="s">
        <v>41</v>
      </c>
      <c r="Q478" s="2">
        <v>45005</v>
      </c>
      <c r="R478" s="13">
        <f t="shared" si="38"/>
        <v>2340</v>
      </c>
      <c r="S478" s="13">
        <f t="shared" si="39"/>
        <v>-675.99198396780992</v>
      </c>
      <c r="T478" s="2">
        <v>45006.625</v>
      </c>
      <c r="U478" t="s">
        <v>37</v>
      </c>
      <c r="V478" t="s">
        <v>29</v>
      </c>
      <c r="W478" t="s">
        <v>47</v>
      </c>
      <c r="X478">
        <v>10</v>
      </c>
      <c r="Y478">
        <v>10</v>
      </c>
      <c r="Z478" t="s">
        <v>31</v>
      </c>
    </row>
    <row r="479" spans="1:26">
      <c r="A479" t="s">
        <v>536</v>
      </c>
      <c r="B479">
        <v>51</v>
      </c>
      <c r="C479" t="str">
        <f t="shared" si="35"/>
        <v>51-65</v>
      </c>
      <c r="D479" t="s">
        <v>45</v>
      </c>
      <c r="E479" s="2">
        <v>45068</v>
      </c>
      <c r="F479" s="2" t="str">
        <f t="shared" ca="1" si="36"/>
        <v>No</v>
      </c>
      <c r="G479" s="2" t="str">
        <f t="shared" si="37"/>
        <v>May-2023</v>
      </c>
      <c r="H479" s="2">
        <v>45083</v>
      </c>
      <c r="I479">
        <v>15</v>
      </c>
      <c r="J479" t="s">
        <v>50</v>
      </c>
      <c r="K479">
        <v>1</v>
      </c>
      <c r="L479" t="s">
        <v>46</v>
      </c>
      <c r="M479" s="9">
        <v>12689</v>
      </c>
      <c r="N479" t="s">
        <v>25</v>
      </c>
      <c r="O479" t="s">
        <v>54</v>
      </c>
      <c r="P479" t="s">
        <v>41</v>
      </c>
      <c r="Q479" s="2">
        <v>45067</v>
      </c>
      <c r="R479" s="13">
        <f t="shared" si="38"/>
        <v>2100.0000000034925</v>
      </c>
      <c r="S479" s="13">
        <f t="shared" si="39"/>
        <v>-680.20040080148419</v>
      </c>
      <c r="T479" s="2">
        <v>45068.458333333336</v>
      </c>
      <c r="U479" t="s">
        <v>37</v>
      </c>
      <c r="V479" t="s">
        <v>29</v>
      </c>
      <c r="W479" t="s">
        <v>47</v>
      </c>
      <c r="X479">
        <v>9</v>
      </c>
      <c r="Y479">
        <v>8</v>
      </c>
      <c r="Z479" t="s">
        <v>31</v>
      </c>
    </row>
    <row r="480" spans="1:26">
      <c r="A480" t="s">
        <v>537</v>
      </c>
      <c r="B480">
        <v>43</v>
      </c>
      <c r="C480" t="str">
        <f t="shared" si="35"/>
        <v>36-50</v>
      </c>
      <c r="D480" t="s">
        <v>45</v>
      </c>
      <c r="E480" s="2">
        <v>45022</v>
      </c>
      <c r="F480" s="2" t="str">
        <f t="shared" ca="1" si="36"/>
        <v>No</v>
      </c>
      <c r="G480" s="2" t="str">
        <f t="shared" si="37"/>
        <v>Apr-2023</v>
      </c>
      <c r="H480" s="2">
        <v>45096</v>
      </c>
      <c r="I480">
        <v>15</v>
      </c>
      <c r="J480" t="s">
        <v>23</v>
      </c>
      <c r="K480">
        <v>2</v>
      </c>
      <c r="L480" t="s">
        <v>46</v>
      </c>
      <c r="M480" s="9">
        <v>8567</v>
      </c>
      <c r="N480" t="s">
        <v>25</v>
      </c>
      <c r="O480" t="s">
        <v>54</v>
      </c>
      <c r="P480" t="s">
        <v>27</v>
      </c>
      <c r="Q480" s="2">
        <v>45077</v>
      </c>
      <c r="R480" s="13">
        <f t="shared" si="38"/>
        <v>660.00000000349246</v>
      </c>
      <c r="S480" s="13">
        <f t="shared" si="39"/>
        <v>-679.11823647282688</v>
      </c>
      <c r="T480" s="2">
        <v>45077.458333333336</v>
      </c>
      <c r="U480" t="s">
        <v>42</v>
      </c>
      <c r="V480" t="s">
        <v>29</v>
      </c>
      <c r="W480" t="s">
        <v>47</v>
      </c>
      <c r="X480">
        <v>6</v>
      </c>
      <c r="Y480">
        <v>8</v>
      </c>
      <c r="Z480" t="s">
        <v>31</v>
      </c>
    </row>
    <row r="481" spans="1:26">
      <c r="A481" t="s">
        <v>538</v>
      </c>
      <c r="B481">
        <v>12</v>
      </c>
      <c r="C481" t="str">
        <f t="shared" si="35"/>
        <v>0-17</v>
      </c>
      <c r="D481" t="s">
        <v>33</v>
      </c>
      <c r="E481" s="2">
        <v>45163</v>
      </c>
      <c r="F481" s="2" t="str">
        <f t="shared" ca="1" si="36"/>
        <v>No</v>
      </c>
      <c r="G481" s="2" t="str">
        <f t="shared" si="37"/>
        <v>Aug-2023</v>
      </c>
      <c r="H481" s="2">
        <v>45025</v>
      </c>
      <c r="I481">
        <v>10</v>
      </c>
      <c r="J481" t="s">
        <v>57</v>
      </c>
      <c r="K481">
        <v>2</v>
      </c>
      <c r="L481" t="s">
        <v>24</v>
      </c>
      <c r="M481" s="9">
        <v>25732</v>
      </c>
      <c r="N481" t="s">
        <v>67</v>
      </c>
      <c r="O481" t="s">
        <v>26</v>
      </c>
      <c r="P481" t="s">
        <v>41</v>
      </c>
      <c r="Q481" s="2">
        <v>45158</v>
      </c>
      <c r="R481" s="13">
        <f t="shared" si="38"/>
        <v>1260</v>
      </c>
      <c r="S481" s="13">
        <f t="shared" si="39"/>
        <v>-678.03607214416957</v>
      </c>
      <c r="T481" s="2">
        <v>45158.875</v>
      </c>
      <c r="U481" t="s">
        <v>64</v>
      </c>
      <c r="V481" t="s">
        <v>29</v>
      </c>
      <c r="W481" t="s">
        <v>43</v>
      </c>
      <c r="X481">
        <v>11</v>
      </c>
      <c r="Y481">
        <v>8</v>
      </c>
      <c r="Z481" t="s">
        <v>68</v>
      </c>
    </row>
    <row r="482" spans="1:26">
      <c r="A482" t="s">
        <v>539</v>
      </c>
      <c r="B482">
        <v>67</v>
      </c>
      <c r="C482" t="str">
        <f t="shared" si="35"/>
        <v>66+</v>
      </c>
      <c r="D482" t="s">
        <v>41</v>
      </c>
      <c r="E482" s="2">
        <v>45319</v>
      </c>
      <c r="F482" s="2" t="str">
        <f t="shared" ca="1" si="36"/>
        <v>No</v>
      </c>
      <c r="G482" s="2" t="str">
        <f t="shared" si="37"/>
        <v>Jan-2024</v>
      </c>
      <c r="H482" s="2">
        <v>45506</v>
      </c>
      <c r="I482">
        <v>11</v>
      </c>
      <c r="J482" t="s">
        <v>50</v>
      </c>
      <c r="K482">
        <v>3</v>
      </c>
      <c r="L482" t="s">
        <v>71</v>
      </c>
      <c r="M482" s="9">
        <v>25774</v>
      </c>
      <c r="N482" t="s">
        <v>25</v>
      </c>
      <c r="O482" t="s">
        <v>54</v>
      </c>
      <c r="P482" t="s">
        <v>27</v>
      </c>
      <c r="Q482" s="2">
        <v>45314</v>
      </c>
      <c r="R482" s="13">
        <f t="shared" si="38"/>
        <v>2759.9999999965075</v>
      </c>
      <c r="S482" s="13">
        <f t="shared" si="39"/>
        <v>-678.51703406801028</v>
      </c>
      <c r="T482" s="2">
        <v>45315.916666666664</v>
      </c>
      <c r="U482" t="s">
        <v>55</v>
      </c>
      <c r="V482" t="s">
        <v>29</v>
      </c>
      <c r="W482" t="s">
        <v>43</v>
      </c>
      <c r="X482">
        <v>4</v>
      </c>
      <c r="Y482">
        <v>8</v>
      </c>
      <c r="Z482" t="s">
        <v>31</v>
      </c>
    </row>
    <row r="483" spans="1:26">
      <c r="A483" t="s">
        <v>540</v>
      </c>
      <c r="B483">
        <v>65</v>
      </c>
      <c r="C483" t="str">
        <f t="shared" si="35"/>
        <v>51-65</v>
      </c>
      <c r="D483" t="s">
        <v>45</v>
      </c>
      <c r="E483" s="2">
        <v>45083</v>
      </c>
      <c r="F483" s="2" t="str">
        <f t="shared" ca="1" si="36"/>
        <v>No</v>
      </c>
      <c r="G483" s="2" t="str">
        <f t="shared" si="37"/>
        <v>Jun-2023</v>
      </c>
      <c r="H483" s="2">
        <v>45094</v>
      </c>
      <c r="I483">
        <v>11</v>
      </c>
      <c r="J483" t="s">
        <v>40</v>
      </c>
      <c r="K483">
        <v>3</v>
      </c>
      <c r="L483" t="s">
        <v>46</v>
      </c>
      <c r="M483" s="9">
        <v>28195</v>
      </c>
      <c r="N483" t="s">
        <v>25</v>
      </c>
      <c r="O483" t="s">
        <v>26</v>
      </c>
      <c r="P483" t="s">
        <v>27</v>
      </c>
      <c r="Q483" s="2">
        <v>45083</v>
      </c>
      <c r="R483" s="13">
        <f t="shared" si="38"/>
        <v>1139.9999999965075</v>
      </c>
      <c r="S483" s="13">
        <f t="shared" si="39"/>
        <v>-682.60521042070866</v>
      </c>
      <c r="T483" s="2">
        <v>45083.791666666664</v>
      </c>
      <c r="U483" t="s">
        <v>64</v>
      </c>
      <c r="V483" t="s">
        <v>29</v>
      </c>
      <c r="W483" t="s">
        <v>43</v>
      </c>
      <c r="X483">
        <v>8</v>
      </c>
      <c r="Y483">
        <v>8</v>
      </c>
      <c r="Z483" t="s">
        <v>68</v>
      </c>
    </row>
    <row r="484" spans="1:26">
      <c r="A484" t="s">
        <v>541</v>
      </c>
      <c r="B484">
        <v>33</v>
      </c>
      <c r="C484" t="str">
        <f t="shared" si="35"/>
        <v>18-35</v>
      </c>
      <c r="D484" t="s">
        <v>22</v>
      </c>
      <c r="E484" s="2">
        <v>45146</v>
      </c>
      <c r="F484" s="2" t="str">
        <f t="shared" ca="1" si="36"/>
        <v>No</v>
      </c>
      <c r="G484" s="2" t="str">
        <f t="shared" si="37"/>
        <v>Aug-2023</v>
      </c>
      <c r="H484" s="2">
        <v>45156</v>
      </c>
      <c r="I484">
        <v>10</v>
      </c>
      <c r="J484" t="s">
        <v>34</v>
      </c>
      <c r="K484">
        <v>4</v>
      </c>
      <c r="L484" t="s">
        <v>66</v>
      </c>
      <c r="M484" s="9">
        <v>42412</v>
      </c>
      <c r="N484" t="s">
        <v>53</v>
      </c>
      <c r="O484" t="s">
        <v>54</v>
      </c>
      <c r="P484" t="s">
        <v>41</v>
      </c>
      <c r="Q484" s="2">
        <v>45115</v>
      </c>
      <c r="R484" s="13">
        <f t="shared" si="38"/>
        <v>1139.9999999965075</v>
      </c>
      <c r="S484" s="13">
        <f t="shared" si="39"/>
        <v>-684.64929859704739</v>
      </c>
      <c r="T484" s="2">
        <v>45115.791666666664</v>
      </c>
      <c r="U484" t="s">
        <v>42</v>
      </c>
      <c r="V484" t="s">
        <v>29</v>
      </c>
      <c r="W484" t="s">
        <v>47</v>
      </c>
      <c r="X484">
        <v>10</v>
      </c>
      <c r="Y484">
        <v>8</v>
      </c>
      <c r="Z484" t="s">
        <v>31</v>
      </c>
    </row>
    <row r="485" spans="1:26">
      <c r="A485" t="s">
        <v>542</v>
      </c>
      <c r="B485">
        <v>40</v>
      </c>
      <c r="C485" t="str">
        <f t="shared" si="35"/>
        <v>36-50</v>
      </c>
      <c r="D485" t="s">
        <v>33</v>
      </c>
      <c r="E485" s="2">
        <v>45110</v>
      </c>
      <c r="F485" s="2" t="str">
        <f t="shared" ca="1" si="36"/>
        <v>No</v>
      </c>
      <c r="G485" s="2" t="str">
        <f t="shared" si="37"/>
        <v>Jul-2023</v>
      </c>
      <c r="H485" s="2">
        <v>44998</v>
      </c>
      <c r="I485">
        <v>6</v>
      </c>
      <c r="J485" t="s">
        <v>57</v>
      </c>
      <c r="K485">
        <v>1</v>
      </c>
      <c r="L485" t="s">
        <v>71</v>
      </c>
      <c r="M485" s="9">
        <v>49098</v>
      </c>
      <c r="N485" t="s">
        <v>60</v>
      </c>
      <c r="O485" t="s">
        <v>54</v>
      </c>
      <c r="P485" t="s">
        <v>27</v>
      </c>
      <c r="Q485" s="2">
        <v>45019</v>
      </c>
      <c r="R485" s="13">
        <f t="shared" si="38"/>
        <v>43979.999999996508</v>
      </c>
      <c r="S485" s="13">
        <f t="shared" si="39"/>
        <v>-597.23446893771472</v>
      </c>
      <c r="T485" s="2">
        <v>45049.541666666664</v>
      </c>
      <c r="U485" t="s">
        <v>55</v>
      </c>
      <c r="V485" t="s">
        <v>29</v>
      </c>
      <c r="W485" t="s">
        <v>43</v>
      </c>
      <c r="X485">
        <v>7</v>
      </c>
      <c r="Y485">
        <v>10</v>
      </c>
      <c r="Z485" t="s">
        <v>68</v>
      </c>
    </row>
    <row r="486" spans="1:26">
      <c r="A486" t="s">
        <v>543</v>
      </c>
      <c r="B486">
        <v>74</v>
      </c>
      <c r="C486" t="str">
        <f t="shared" si="35"/>
        <v>66+</v>
      </c>
      <c r="D486" t="s">
        <v>45</v>
      </c>
      <c r="E486" s="2">
        <v>45351</v>
      </c>
      <c r="F486" s="2" t="str">
        <f t="shared" ca="1" si="36"/>
        <v>No</v>
      </c>
      <c r="G486" s="2" t="str">
        <f t="shared" si="37"/>
        <v>Feb-2024</v>
      </c>
      <c r="H486" s="2">
        <v>45365</v>
      </c>
      <c r="I486">
        <v>14</v>
      </c>
      <c r="J486" t="s">
        <v>40</v>
      </c>
      <c r="K486">
        <v>2</v>
      </c>
      <c r="L486" t="s">
        <v>24</v>
      </c>
      <c r="M486" s="9">
        <v>27257</v>
      </c>
      <c r="N486" t="s">
        <v>60</v>
      </c>
      <c r="O486" t="s">
        <v>54</v>
      </c>
      <c r="P486" t="s">
        <v>41</v>
      </c>
      <c r="Q486" s="2">
        <v>45350</v>
      </c>
      <c r="R486" s="13">
        <f t="shared" si="38"/>
        <v>1080</v>
      </c>
      <c r="S486" s="13">
        <f t="shared" si="39"/>
        <v>-595.31062124231005</v>
      </c>
      <c r="T486" s="2">
        <v>45350.75</v>
      </c>
      <c r="U486" t="s">
        <v>55</v>
      </c>
      <c r="V486" t="s">
        <v>38</v>
      </c>
      <c r="W486" t="s">
        <v>30</v>
      </c>
      <c r="X486">
        <v>11</v>
      </c>
      <c r="Y486">
        <v>8</v>
      </c>
      <c r="Z486" t="s">
        <v>31</v>
      </c>
    </row>
    <row r="487" spans="1:26">
      <c r="A487" t="s">
        <v>544</v>
      </c>
      <c r="B487">
        <v>43</v>
      </c>
      <c r="C487" t="str">
        <f t="shared" si="35"/>
        <v>36-50</v>
      </c>
      <c r="D487" t="s">
        <v>41</v>
      </c>
      <c r="E487" s="2">
        <v>45344</v>
      </c>
      <c r="F487" s="2" t="str">
        <f t="shared" ca="1" si="36"/>
        <v>No</v>
      </c>
      <c r="G487" s="2" t="str">
        <f t="shared" si="37"/>
        <v>Feb-2024</v>
      </c>
      <c r="H487" s="2">
        <v>45385</v>
      </c>
      <c r="I487">
        <v>11</v>
      </c>
      <c r="J487" t="s">
        <v>57</v>
      </c>
      <c r="K487">
        <v>1</v>
      </c>
      <c r="L487" t="s">
        <v>71</v>
      </c>
      <c r="M487" s="9">
        <v>9394</v>
      </c>
      <c r="N487" t="s">
        <v>53</v>
      </c>
      <c r="O487" t="s">
        <v>54</v>
      </c>
      <c r="P487" t="s">
        <v>27</v>
      </c>
      <c r="Q487" s="2">
        <v>45344</v>
      </c>
      <c r="R487" s="13">
        <f t="shared" si="38"/>
        <v>1980</v>
      </c>
      <c r="S487" s="13">
        <f t="shared" si="39"/>
        <v>-593.14629258499542</v>
      </c>
      <c r="T487" s="2">
        <v>45345.375</v>
      </c>
      <c r="U487" t="s">
        <v>37</v>
      </c>
      <c r="V487" t="s">
        <v>29</v>
      </c>
      <c r="W487" t="s">
        <v>43</v>
      </c>
      <c r="X487">
        <v>9</v>
      </c>
      <c r="Y487">
        <v>8</v>
      </c>
      <c r="Z487" t="s">
        <v>31</v>
      </c>
    </row>
    <row r="488" spans="1:26">
      <c r="A488" t="s">
        <v>545</v>
      </c>
      <c r="B488">
        <v>44</v>
      </c>
      <c r="C488" t="str">
        <f t="shared" si="35"/>
        <v>36-50</v>
      </c>
      <c r="D488" t="s">
        <v>33</v>
      </c>
      <c r="E488" s="2">
        <v>45058</v>
      </c>
      <c r="F488" s="2" t="str">
        <f t="shared" ca="1" si="36"/>
        <v>No</v>
      </c>
      <c r="G488" s="2" t="str">
        <f t="shared" si="37"/>
        <v>May-2023</v>
      </c>
      <c r="H488" s="2">
        <v>45242</v>
      </c>
      <c r="I488">
        <v>6</v>
      </c>
      <c r="J488" t="s">
        <v>40</v>
      </c>
      <c r="K488">
        <v>5</v>
      </c>
      <c r="L488" t="s">
        <v>35</v>
      </c>
      <c r="M488" s="9">
        <v>41302</v>
      </c>
      <c r="N488" t="s">
        <v>53</v>
      </c>
      <c r="O488" t="s">
        <v>54</v>
      </c>
      <c r="P488" t="s">
        <v>41</v>
      </c>
      <c r="Q488" s="2">
        <v>44969</v>
      </c>
      <c r="R488" s="13">
        <f t="shared" si="38"/>
        <v>41520.000000003492</v>
      </c>
      <c r="S488" s="13">
        <f t="shared" si="39"/>
        <v>-591.34268537056653</v>
      </c>
      <c r="T488" s="2">
        <v>44997.833333333336</v>
      </c>
      <c r="U488" t="s">
        <v>64</v>
      </c>
      <c r="V488" t="s">
        <v>29</v>
      </c>
      <c r="W488" t="s">
        <v>47</v>
      </c>
      <c r="X488">
        <v>8</v>
      </c>
      <c r="Y488">
        <v>8</v>
      </c>
      <c r="Z488" t="s">
        <v>31</v>
      </c>
    </row>
    <row r="489" spans="1:26">
      <c r="A489" t="s">
        <v>546</v>
      </c>
      <c r="B489">
        <v>29</v>
      </c>
      <c r="C489" t="str">
        <f t="shared" si="35"/>
        <v>18-35</v>
      </c>
      <c r="D489" t="s">
        <v>62</v>
      </c>
      <c r="E489" s="2">
        <v>45404</v>
      </c>
      <c r="F489" s="2" t="str">
        <f t="shared" ca="1" si="36"/>
        <v>No</v>
      </c>
      <c r="G489" s="2" t="str">
        <f t="shared" si="37"/>
        <v>Apr-2024</v>
      </c>
      <c r="H489" s="2">
        <v>45407</v>
      </c>
      <c r="I489">
        <v>3</v>
      </c>
      <c r="J489" t="s">
        <v>34</v>
      </c>
      <c r="K489">
        <v>2</v>
      </c>
      <c r="L489" t="s">
        <v>35</v>
      </c>
      <c r="M489" s="9">
        <v>27228</v>
      </c>
      <c r="N489" t="s">
        <v>25</v>
      </c>
      <c r="O489" t="s">
        <v>26</v>
      </c>
      <c r="P489" t="s">
        <v>27</v>
      </c>
      <c r="Q489" s="2">
        <v>45401</v>
      </c>
      <c r="R489" s="13">
        <f t="shared" si="38"/>
        <v>419.99999999650754</v>
      </c>
      <c r="S489" s="13">
        <f t="shared" si="39"/>
        <v>-583.64729458901036</v>
      </c>
      <c r="T489" s="2">
        <v>45401.291666666664</v>
      </c>
      <c r="U489" t="s">
        <v>55</v>
      </c>
      <c r="V489" t="s">
        <v>29</v>
      </c>
      <c r="W489" t="s">
        <v>30</v>
      </c>
      <c r="X489">
        <v>7</v>
      </c>
      <c r="Y489">
        <v>8</v>
      </c>
      <c r="Z489" t="s">
        <v>48</v>
      </c>
    </row>
    <row r="490" spans="1:26">
      <c r="A490" t="s">
        <v>547</v>
      </c>
      <c r="B490">
        <v>13</v>
      </c>
      <c r="C490" t="str">
        <f t="shared" si="35"/>
        <v>0-17</v>
      </c>
      <c r="D490" t="s">
        <v>41</v>
      </c>
      <c r="E490" s="2">
        <v>45294</v>
      </c>
      <c r="F490" s="2" t="str">
        <f t="shared" ca="1" si="36"/>
        <v>No</v>
      </c>
      <c r="G490" s="2" t="str">
        <f t="shared" si="37"/>
        <v>Jan-2024</v>
      </c>
      <c r="H490" s="2">
        <v>45538</v>
      </c>
      <c r="I490">
        <v>8</v>
      </c>
      <c r="J490" t="s">
        <v>34</v>
      </c>
      <c r="K490">
        <v>1</v>
      </c>
      <c r="L490" t="s">
        <v>46</v>
      </c>
      <c r="M490" s="9">
        <v>17388</v>
      </c>
      <c r="N490" t="s">
        <v>36</v>
      </c>
      <c r="O490" t="s">
        <v>54</v>
      </c>
      <c r="P490" t="s">
        <v>41</v>
      </c>
      <c r="Q490" s="2">
        <v>45351</v>
      </c>
      <c r="R490" s="13">
        <f t="shared" si="38"/>
        <v>540</v>
      </c>
      <c r="S490" s="13">
        <f t="shared" si="39"/>
        <v>-582.56513026035304</v>
      </c>
      <c r="T490" s="2">
        <v>45351.375</v>
      </c>
      <c r="U490" t="s">
        <v>42</v>
      </c>
      <c r="V490" t="s">
        <v>29</v>
      </c>
      <c r="W490" t="s">
        <v>47</v>
      </c>
      <c r="X490">
        <v>7</v>
      </c>
      <c r="Y490">
        <v>10</v>
      </c>
      <c r="Z490" t="s">
        <v>48</v>
      </c>
    </row>
    <row r="491" spans="1:26">
      <c r="A491" t="s">
        <v>548</v>
      </c>
      <c r="B491">
        <v>12</v>
      </c>
      <c r="C491" t="str">
        <f t="shared" si="35"/>
        <v>0-17</v>
      </c>
      <c r="D491" t="s">
        <v>22</v>
      </c>
      <c r="E491" s="2">
        <v>45049</v>
      </c>
      <c r="F491" s="2" t="str">
        <f t="shared" ca="1" si="36"/>
        <v>No</v>
      </c>
      <c r="G491" s="2" t="str">
        <f t="shared" si="37"/>
        <v>May-2023</v>
      </c>
      <c r="H491" s="2">
        <v>45110</v>
      </c>
      <c r="I491">
        <v>2</v>
      </c>
      <c r="J491" t="s">
        <v>63</v>
      </c>
      <c r="K491">
        <v>4</v>
      </c>
      <c r="L491" t="s">
        <v>46</v>
      </c>
      <c r="M491" s="9">
        <v>16319</v>
      </c>
      <c r="N491" t="s">
        <v>25</v>
      </c>
      <c r="O491" t="s">
        <v>54</v>
      </c>
      <c r="P491" t="s">
        <v>27</v>
      </c>
      <c r="Q491" s="2">
        <v>44985</v>
      </c>
      <c r="R491" s="13">
        <f t="shared" si="38"/>
        <v>-80460</v>
      </c>
      <c r="S491" s="13">
        <f t="shared" si="39"/>
        <v>-582.80561122228391</v>
      </c>
      <c r="T491" s="2">
        <v>44929.125</v>
      </c>
      <c r="U491" t="s">
        <v>37</v>
      </c>
      <c r="V491" t="s">
        <v>29</v>
      </c>
      <c r="W491" t="s">
        <v>30</v>
      </c>
      <c r="X491">
        <v>5</v>
      </c>
      <c r="Y491">
        <v>12</v>
      </c>
      <c r="Z491" t="s">
        <v>31</v>
      </c>
    </row>
    <row r="492" spans="1:26">
      <c r="A492" t="s">
        <v>549</v>
      </c>
      <c r="B492">
        <v>46</v>
      </c>
      <c r="C492" t="str">
        <f t="shared" si="35"/>
        <v>36-50</v>
      </c>
      <c r="D492" t="s">
        <v>45</v>
      </c>
      <c r="E492" s="2">
        <v>45138</v>
      </c>
      <c r="F492" s="2" t="str">
        <f t="shared" ca="1" si="36"/>
        <v>No</v>
      </c>
      <c r="G492" s="2" t="str">
        <f t="shared" si="37"/>
        <v>Jul-2023</v>
      </c>
      <c r="H492" s="2">
        <v>45146</v>
      </c>
      <c r="I492">
        <v>8</v>
      </c>
      <c r="J492" t="s">
        <v>23</v>
      </c>
      <c r="K492">
        <v>4</v>
      </c>
      <c r="L492" t="s">
        <v>66</v>
      </c>
      <c r="M492" s="9">
        <v>11475</v>
      </c>
      <c r="N492" t="s">
        <v>53</v>
      </c>
      <c r="O492" t="s">
        <v>54</v>
      </c>
      <c r="P492" t="s">
        <v>27</v>
      </c>
      <c r="Q492" s="2">
        <v>45136</v>
      </c>
      <c r="R492" s="13">
        <f t="shared" si="38"/>
        <v>239.99999999650754</v>
      </c>
      <c r="S492" s="13">
        <f t="shared" si="39"/>
        <v>-417.9559118234863</v>
      </c>
      <c r="T492" s="2">
        <v>45136.166666666664</v>
      </c>
      <c r="U492" t="s">
        <v>55</v>
      </c>
      <c r="V492" t="s">
        <v>38</v>
      </c>
      <c r="W492" t="s">
        <v>47</v>
      </c>
      <c r="X492">
        <v>5</v>
      </c>
      <c r="Y492">
        <v>12</v>
      </c>
      <c r="Z492" t="s">
        <v>68</v>
      </c>
    </row>
    <row r="493" spans="1:26">
      <c r="A493" t="s">
        <v>550</v>
      </c>
      <c r="B493">
        <v>2</v>
      </c>
      <c r="C493" t="str">
        <f t="shared" si="35"/>
        <v>0-17</v>
      </c>
      <c r="D493" t="s">
        <v>62</v>
      </c>
      <c r="E493" s="2">
        <v>45446</v>
      </c>
      <c r="F493" s="2" t="str">
        <f t="shared" ca="1" si="36"/>
        <v>No</v>
      </c>
      <c r="G493" s="2" t="str">
        <f t="shared" si="37"/>
        <v>Jun-2024</v>
      </c>
      <c r="H493" s="2">
        <v>45365</v>
      </c>
      <c r="I493">
        <v>8</v>
      </c>
      <c r="J493" t="s">
        <v>40</v>
      </c>
      <c r="K493">
        <v>2</v>
      </c>
      <c r="L493" t="s">
        <v>71</v>
      </c>
      <c r="M493" s="9">
        <v>36555</v>
      </c>
      <c r="N493" t="s">
        <v>60</v>
      </c>
      <c r="O493" t="s">
        <v>54</v>
      </c>
      <c r="P493" t="s">
        <v>27</v>
      </c>
      <c r="Q493" s="2">
        <v>45446</v>
      </c>
      <c r="R493" s="13">
        <f t="shared" si="38"/>
        <v>1080</v>
      </c>
      <c r="S493" s="13">
        <f t="shared" si="39"/>
        <v>-417.59519038060057</v>
      </c>
      <c r="T493" s="2">
        <v>45446.75</v>
      </c>
      <c r="U493" t="s">
        <v>64</v>
      </c>
      <c r="V493" t="s">
        <v>29</v>
      </c>
      <c r="W493" t="s">
        <v>47</v>
      </c>
      <c r="X493">
        <v>10</v>
      </c>
      <c r="Y493">
        <v>12</v>
      </c>
      <c r="Z493" t="s">
        <v>68</v>
      </c>
    </row>
    <row r="494" spans="1:26">
      <c r="A494" t="s">
        <v>551</v>
      </c>
      <c r="B494">
        <v>35</v>
      </c>
      <c r="C494" t="str">
        <f t="shared" si="35"/>
        <v>18-35</v>
      </c>
      <c r="D494" t="s">
        <v>62</v>
      </c>
      <c r="E494" s="2">
        <v>45353</v>
      </c>
      <c r="F494" s="2" t="str">
        <f t="shared" ca="1" si="36"/>
        <v>No</v>
      </c>
      <c r="G494" s="2" t="str">
        <f t="shared" si="37"/>
        <v>Mar-2024</v>
      </c>
      <c r="H494" s="2">
        <v>45336</v>
      </c>
      <c r="I494">
        <v>11</v>
      </c>
      <c r="J494" t="s">
        <v>63</v>
      </c>
      <c r="K494">
        <v>5</v>
      </c>
      <c r="L494" t="s">
        <v>35</v>
      </c>
      <c r="M494" s="9">
        <v>23158</v>
      </c>
      <c r="N494" t="s">
        <v>25</v>
      </c>
      <c r="O494" t="s">
        <v>26</v>
      </c>
      <c r="P494" t="s">
        <v>27</v>
      </c>
      <c r="Q494" s="2">
        <v>45353</v>
      </c>
      <c r="R494" s="13">
        <f t="shared" si="38"/>
        <v>45720</v>
      </c>
      <c r="S494" s="13">
        <f t="shared" si="39"/>
        <v>-418.67735470925788</v>
      </c>
      <c r="T494" s="2">
        <v>45384.75</v>
      </c>
      <c r="U494" t="s">
        <v>37</v>
      </c>
      <c r="V494" t="s">
        <v>29</v>
      </c>
      <c r="W494" t="s">
        <v>30</v>
      </c>
      <c r="X494">
        <v>8</v>
      </c>
      <c r="Y494">
        <v>12</v>
      </c>
      <c r="Z494" t="s">
        <v>31</v>
      </c>
    </row>
    <row r="495" spans="1:26">
      <c r="A495" t="s">
        <v>552</v>
      </c>
      <c r="B495">
        <v>87</v>
      </c>
      <c r="C495" t="str">
        <f t="shared" si="35"/>
        <v>66+</v>
      </c>
      <c r="D495" t="s">
        <v>33</v>
      </c>
      <c r="E495" s="2">
        <v>44947</v>
      </c>
      <c r="F495" s="2" t="str">
        <f t="shared" ca="1" si="36"/>
        <v>No</v>
      </c>
      <c r="G495" s="2" t="str">
        <f t="shared" si="37"/>
        <v>Jan-2023</v>
      </c>
      <c r="H495" s="2">
        <v>44952</v>
      </c>
      <c r="I495">
        <v>5</v>
      </c>
      <c r="J495" t="s">
        <v>40</v>
      </c>
      <c r="K495">
        <v>4</v>
      </c>
      <c r="L495" t="s">
        <v>46</v>
      </c>
      <c r="M495" s="9">
        <v>19728</v>
      </c>
      <c r="N495" t="s">
        <v>36</v>
      </c>
      <c r="O495" t="s">
        <v>54</v>
      </c>
      <c r="P495" t="s">
        <v>27</v>
      </c>
      <c r="Q495" s="2">
        <v>44945</v>
      </c>
      <c r="R495" s="13">
        <f t="shared" si="38"/>
        <v>540</v>
      </c>
      <c r="S495" s="13">
        <f t="shared" si="39"/>
        <v>-509.33867735454146</v>
      </c>
      <c r="T495" s="2">
        <v>44945.375</v>
      </c>
      <c r="U495" t="s">
        <v>64</v>
      </c>
      <c r="V495" t="s">
        <v>29</v>
      </c>
      <c r="W495" t="s">
        <v>43</v>
      </c>
      <c r="X495">
        <v>11</v>
      </c>
      <c r="Y495">
        <v>8</v>
      </c>
      <c r="Z495" t="s">
        <v>48</v>
      </c>
    </row>
    <row r="496" spans="1:26">
      <c r="A496" t="s">
        <v>553</v>
      </c>
      <c r="B496">
        <v>81</v>
      </c>
      <c r="C496" t="str">
        <f t="shared" si="35"/>
        <v>66+</v>
      </c>
      <c r="D496" t="s">
        <v>62</v>
      </c>
      <c r="E496" s="2">
        <v>45316</v>
      </c>
      <c r="F496" s="2" t="str">
        <f t="shared" ca="1" si="36"/>
        <v>No</v>
      </c>
      <c r="G496" s="2" t="str">
        <f t="shared" si="37"/>
        <v>Jan-2024</v>
      </c>
      <c r="H496" s="2">
        <v>45475</v>
      </c>
      <c r="I496">
        <v>13</v>
      </c>
      <c r="J496" t="s">
        <v>63</v>
      </c>
      <c r="K496">
        <v>4</v>
      </c>
      <c r="L496" t="s">
        <v>71</v>
      </c>
      <c r="M496" s="9">
        <v>49774</v>
      </c>
      <c r="N496" t="s">
        <v>25</v>
      </c>
      <c r="O496" t="s">
        <v>26</v>
      </c>
      <c r="P496" t="s">
        <v>27</v>
      </c>
      <c r="Q496" s="2">
        <v>45312</v>
      </c>
      <c r="R496" s="13">
        <f t="shared" si="38"/>
        <v>2700</v>
      </c>
      <c r="S496" s="13">
        <f t="shared" si="39"/>
        <v>-510.30060120224385</v>
      </c>
      <c r="T496" s="2">
        <v>45313.875</v>
      </c>
      <c r="U496" t="s">
        <v>64</v>
      </c>
      <c r="V496" t="s">
        <v>29</v>
      </c>
      <c r="W496" t="s">
        <v>30</v>
      </c>
      <c r="X496">
        <v>10</v>
      </c>
      <c r="Y496">
        <v>12</v>
      </c>
      <c r="Z496" t="s">
        <v>68</v>
      </c>
    </row>
    <row r="497" spans="1:26">
      <c r="A497" t="s">
        <v>554</v>
      </c>
      <c r="B497">
        <v>8</v>
      </c>
      <c r="C497" t="str">
        <f t="shared" si="35"/>
        <v>0-17</v>
      </c>
      <c r="D497" t="s">
        <v>22</v>
      </c>
      <c r="E497" s="2">
        <v>45356</v>
      </c>
      <c r="F497" s="2" t="str">
        <f t="shared" ca="1" si="36"/>
        <v>No</v>
      </c>
      <c r="G497" s="2" t="str">
        <f t="shared" si="37"/>
        <v>Mar-2024</v>
      </c>
      <c r="H497" s="2">
        <v>45509</v>
      </c>
      <c r="I497">
        <v>5</v>
      </c>
      <c r="J497" t="s">
        <v>34</v>
      </c>
      <c r="K497">
        <v>5</v>
      </c>
      <c r="L497" t="s">
        <v>46</v>
      </c>
      <c r="M497" s="9">
        <v>34545</v>
      </c>
      <c r="N497" t="s">
        <v>67</v>
      </c>
      <c r="O497" t="s">
        <v>54</v>
      </c>
      <c r="P497" t="s">
        <v>41</v>
      </c>
      <c r="Q497" s="2">
        <v>45411</v>
      </c>
      <c r="R497" s="13">
        <f t="shared" si="38"/>
        <v>540</v>
      </c>
      <c r="S497" s="13">
        <f t="shared" si="39"/>
        <v>-515.23046092168966</v>
      </c>
      <c r="T497" s="2">
        <v>45411.375</v>
      </c>
      <c r="U497" t="s">
        <v>64</v>
      </c>
      <c r="V497" t="s">
        <v>29</v>
      </c>
      <c r="W497" t="s">
        <v>30</v>
      </c>
      <c r="X497">
        <v>8</v>
      </c>
      <c r="Y497">
        <v>12</v>
      </c>
      <c r="Z497" t="s">
        <v>48</v>
      </c>
    </row>
    <row r="498" spans="1:26">
      <c r="A498" t="s">
        <v>555</v>
      </c>
      <c r="B498">
        <v>26</v>
      </c>
      <c r="C498" t="str">
        <f t="shared" si="35"/>
        <v>18-35</v>
      </c>
      <c r="D498" t="s">
        <v>22</v>
      </c>
      <c r="E498" s="2">
        <v>45108</v>
      </c>
      <c r="F498" s="2" t="str">
        <f t="shared" ca="1" si="36"/>
        <v>No</v>
      </c>
      <c r="G498" s="2" t="str">
        <f t="shared" si="37"/>
        <v>Jul-2023</v>
      </c>
      <c r="H498" s="2">
        <v>44943</v>
      </c>
      <c r="I498">
        <v>10</v>
      </c>
      <c r="J498" t="s">
        <v>57</v>
      </c>
      <c r="K498">
        <v>1</v>
      </c>
      <c r="L498" t="s">
        <v>46</v>
      </c>
      <c r="M498" s="9">
        <v>36100</v>
      </c>
      <c r="N498" t="s">
        <v>25</v>
      </c>
      <c r="O498" t="s">
        <v>54</v>
      </c>
      <c r="P498" t="s">
        <v>41</v>
      </c>
      <c r="Q498" s="2">
        <v>45108</v>
      </c>
      <c r="R498" s="13">
        <f t="shared" si="38"/>
        <v>959.99999999650754</v>
      </c>
      <c r="S498" s="13">
        <f t="shared" si="39"/>
        <v>-514.50901803591819</v>
      </c>
      <c r="T498" s="2">
        <v>45108.666666666664</v>
      </c>
      <c r="U498" t="s">
        <v>37</v>
      </c>
      <c r="V498" t="s">
        <v>29</v>
      </c>
      <c r="W498" t="s">
        <v>30</v>
      </c>
      <c r="X498">
        <v>6</v>
      </c>
      <c r="Y498">
        <v>10</v>
      </c>
      <c r="Z498" t="s">
        <v>68</v>
      </c>
    </row>
    <row r="499" spans="1:26">
      <c r="A499" t="s">
        <v>556</v>
      </c>
      <c r="B499">
        <v>74</v>
      </c>
      <c r="C499" t="str">
        <f t="shared" si="35"/>
        <v>66+</v>
      </c>
      <c r="D499" t="s">
        <v>52</v>
      </c>
      <c r="E499" s="2">
        <v>45287</v>
      </c>
      <c r="F499" s="2" t="str">
        <f t="shared" ca="1" si="36"/>
        <v>No</v>
      </c>
      <c r="G499" s="2" t="str">
        <f t="shared" si="37"/>
        <v>Dec-2023</v>
      </c>
      <c r="H499" s="2">
        <v>45288</v>
      </c>
      <c r="I499">
        <v>1</v>
      </c>
      <c r="J499" t="s">
        <v>63</v>
      </c>
      <c r="K499">
        <v>4</v>
      </c>
      <c r="L499" t="s">
        <v>35</v>
      </c>
      <c r="M499" s="9">
        <v>21150</v>
      </c>
      <c r="N499" t="s">
        <v>53</v>
      </c>
      <c r="O499" t="s">
        <v>54</v>
      </c>
      <c r="P499" t="s">
        <v>41</v>
      </c>
      <c r="Q499" s="2">
        <v>45285</v>
      </c>
      <c r="R499" s="13">
        <f t="shared" si="38"/>
        <v>599.99999999650754</v>
      </c>
      <c r="S499" s="13">
        <f t="shared" si="39"/>
        <v>-515.35070140264463</v>
      </c>
      <c r="T499" s="2">
        <v>45285.416666666664</v>
      </c>
      <c r="U499" t="s">
        <v>55</v>
      </c>
      <c r="V499" t="s">
        <v>29</v>
      </c>
      <c r="W499" t="s">
        <v>30</v>
      </c>
      <c r="X499">
        <v>4</v>
      </c>
      <c r="Y499">
        <v>10</v>
      </c>
      <c r="Z499" t="s">
        <v>31</v>
      </c>
    </row>
    <row r="500" spans="1:26">
      <c r="A500" t="s">
        <v>557</v>
      </c>
      <c r="B500">
        <v>34</v>
      </c>
      <c r="C500" t="str">
        <f t="shared" si="35"/>
        <v>18-35</v>
      </c>
      <c r="D500" t="s">
        <v>22</v>
      </c>
      <c r="E500" s="2">
        <v>44968</v>
      </c>
      <c r="F500" s="2" t="str">
        <f t="shared" ca="1" si="36"/>
        <v>No</v>
      </c>
      <c r="G500" s="2" t="str">
        <f t="shared" si="37"/>
        <v>Feb-2023</v>
      </c>
      <c r="H500" s="2">
        <v>45149</v>
      </c>
      <c r="I500">
        <v>6</v>
      </c>
      <c r="J500" t="s">
        <v>40</v>
      </c>
      <c r="K500">
        <v>3</v>
      </c>
      <c r="L500" t="s">
        <v>35</v>
      </c>
      <c r="M500" s="9">
        <v>38214</v>
      </c>
      <c r="N500" t="s">
        <v>60</v>
      </c>
      <c r="O500" t="s">
        <v>54</v>
      </c>
      <c r="P500" t="s">
        <v>27</v>
      </c>
      <c r="Q500" s="2">
        <v>45230</v>
      </c>
      <c r="R500" s="13">
        <f t="shared" si="38"/>
        <v>-420600.00000000349</v>
      </c>
      <c r="S500" s="13">
        <f t="shared" si="39"/>
        <v>-514.9899799597589</v>
      </c>
      <c r="T500" s="2">
        <v>44937.916666666664</v>
      </c>
      <c r="U500" t="s">
        <v>28</v>
      </c>
      <c r="V500" t="s">
        <v>29</v>
      </c>
      <c r="W500" t="s">
        <v>30</v>
      </c>
      <c r="X500">
        <v>4</v>
      </c>
      <c r="Y500">
        <v>10</v>
      </c>
      <c r="Z500" t="s">
        <v>48</v>
      </c>
    </row>
    <row r="501" spans="1:26">
      <c r="A501" t="s">
        <v>558</v>
      </c>
      <c r="B501">
        <v>7</v>
      </c>
      <c r="C501" t="str">
        <f t="shared" si="35"/>
        <v>0-17</v>
      </c>
      <c r="D501" t="s">
        <v>41</v>
      </c>
      <c r="E501" s="2">
        <v>45384</v>
      </c>
      <c r="F501" s="2" t="str">
        <f t="shared" ca="1" si="36"/>
        <v>No</v>
      </c>
      <c r="G501" s="2" t="str">
        <f t="shared" si="37"/>
        <v>Apr-2024</v>
      </c>
      <c r="H501" s="2">
        <v>45335</v>
      </c>
      <c r="I501">
        <v>9</v>
      </c>
      <c r="J501" t="s">
        <v>40</v>
      </c>
      <c r="K501">
        <v>4</v>
      </c>
      <c r="L501" t="s">
        <v>46</v>
      </c>
      <c r="M501" s="9">
        <v>37876</v>
      </c>
      <c r="N501" t="s">
        <v>60</v>
      </c>
      <c r="O501" t="s">
        <v>26</v>
      </c>
      <c r="P501" t="s">
        <v>27</v>
      </c>
      <c r="Q501" s="2">
        <v>45293</v>
      </c>
      <c r="R501" s="13">
        <f t="shared" si="38"/>
        <v>1260</v>
      </c>
      <c r="S501" s="13">
        <f t="shared" si="39"/>
        <v>408.93787575167801</v>
      </c>
      <c r="T501" s="2">
        <v>45293.875</v>
      </c>
      <c r="U501" t="s">
        <v>55</v>
      </c>
      <c r="V501" t="s">
        <v>29</v>
      </c>
      <c r="W501" t="s">
        <v>47</v>
      </c>
      <c r="X501">
        <v>11</v>
      </c>
      <c r="Y501">
        <v>8</v>
      </c>
      <c r="Z501" t="s">
        <v>68</v>
      </c>
    </row>
    <row r="502" spans="1:26">
      <c r="A502" t="s">
        <v>559</v>
      </c>
      <c r="B502">
        <v>68</v>
      </c>
      <c r="C502" t="str">
        <f t="shared" si="35"/>
        <v>66+</v>
      </c>
      <c r="D502" t="s">
        <v>62</v>
      </c>
      <c r="E502" s="2">
        <v>45415</v>
      </c>
      <c r="F502" s="2" t="str">
        <f t="shared" ca="1" si="36"/>
        <v>No</v>
      </c>
      <c r="G502" s="2" t="str">
        <f t="shared" si="37"/>
        <v>May-2024</v>
      </c>
      <c r="H502" s="2">
        <v>45476</v>
      </c>
      <c r="I502">
        <v>2</v>
      </c>
      <c r="J502" t="s">
        <v>23</v>
      </c>
      <c r="K502">
        <v>1</v>
      </c>
      <c r="L502" t="s">
        <v>24</v>
      </c>
      <c r="M502" s="9">
        <v>8239</v>
      </c>
      <c r="N502" t="s">
        <v>53</v>
      </c>
      <c r="O502" t="s">
        <v>54</v>
      </c>
      <c r="P502" t="s">
        <v>27</v>
      </c>
      <c r="Q502" s="2">
        <v>45351</v>
      </c>
      <c r="R502" s="13">
        <f t="shared" si="38"/>
        <v>959.99999999650754</v>
      </c>
      <c r="S502" s="13">
        <f t="shared" si="39"/>
        <v>409.29859719456374</v>
      </c>
      <c r="T502" s="2">
        <v>45351.666666666664</v>
      </c>
      <c r="U502" t="s">
        <v>37</v>
      </c>
      <c r="V502" t="s">
        <v>29</v>
      </c>
      <c r="W502" t="s">
        <v>47</v>
      </c>
      <c r="X502">
        <v>8</v>
      </c>
      <c r="Y502">
        <v>8</v>
      </c>
      <c r="Z502" t="s">
        <v>31</v>
      </c>
    </row>
    <row r="503" spans="1:26">
      <c r="A503" t="s">
        <v>560</v>
      </c>
      <c r="B503">
        <v>58</v>
      </c>
      <c r="C503" t="str">
        <f t="shared" si="35"/>
        <v>51-65</v>
      </c>
      <c r="D503" t="s">
        <v>22</v>
      </c>
      <c r="E503" s="2">
        <v>45152</v>
      </c>
      <c r="F503" s="2" t="str">
        <f t="shared" ca="1" si="36"/>
        <v>No</v>
      </c>
      <c r="G503" s="2" t="str">
        <f t="shared" si="37"/>
        <v>Aug-2023</v>
      </c>
      <c r="H503" s="2">
        <v>45157</v>
      </c>
      <c r="I503">
        <v>5</v>
      </c>
      <c r="J503" t="s">
        <v>34</v>
      </c>
      <c r="K503">
        <v>1</v>
      </c>
      <c r="L503" t="s">
        <v>46</v>
      </c>
      <c r="M503" s="9">
        <v>43699</v>
      </c>
      <c r="N503" t="s">
        <v>67</v>
      </c>
      <c r="O503" t="s">
        <v>26</v>
      </c>
      <c r="P503" t="s">
        <v>41</v>
      </c>
      <c r="Q503" s="2">
        <v>45207</v>
      </c>
      <c r="R503" s="13">
        <f t="shared" si="38"/>
        <v>45840.000000003492</v>
      </c>
      <c r="S503" s="13">
        <f t="shared" si="39"/>
        <v>496.35270541101062</v>
      </c>
      <c r="T503" s="2">
        <v>45238.833333333336</v>
      </c>
      <c r="U503" t="s">
        <v>28</v>
      </c>
      <c r="V503" t="s">
        <v>29</v>
      </c>
      <c r="W503" t="s">
        <v>43</v>
      </c>
      <c r="X503">
        <v>5</v>
      </c>
      <c r="Y503">
        <v>8</v>
      </c>
      <c r="Z503" t="s">
        <v>31</v>
      </c>
    </row>
    <row r="504" spans="1:26">
      <c r="A504" t="s">
        <v>561</v>
      </c>
      <c r="B504">
        <v>75</v>
      </c>
      <c r="C504" t="str">
        <f t="shared" si="35"/>
        <v>66+</v>
      </c>
      <c r="D504" t="s">
        <v>33</v>
      </c>
      <c r="E504" s="2">
        <v>45426</v>
      </c>
      <c r="F504" s="2" t="str">
        <f t="shared" ca="1" si="36"/>
        <v>No</v>
      </c>
      <c r="G504" s="2" t="str">
        <f t="shared" si="37"/>
        <v>May-2024</v>
      </c>
      <c r="H504" s="2">
        <v>45434</v>
      </c>
      <c r="I504">
        <v>8</v>
      </c>
      <c r="J504" t="s">
        <v>40</v>
      </c>
      <c r="K504">
        <v>2</v>
      </c>
      <c r="L504" t="s">
        <v>46</v>
      </c>
      <c r="M504" s="9">
        <v>41821</v>
      </c>
      <c r="N504" t="s">
        <v>53</v>
      </c>
      <c r="O504" t="s">
        <v>54</v>
      </c>
      <c r="P504" t="s">
        <v>27</v>
      </c>
      <c r="Q504" s="2">
        <v>45570</v>
      </c>
      <c r="R504" s="13">
        <f t="shared" si="38"/>
        <v>44760.000000003492</v>
      </c>
      <c r="S504" s="13">
        <f t="shared" si="39"/>
        <v>405.30120481945943</v>
      </c>
      <c r="T504" s="2">
        <v>45601.083333333336</v>
      </c>
      <c r="U504" t="s">
        <v>28</v>
      </c>
      <c r="V504" t="s">
        <v>29</v>
      </c>
      <c r="W504" t="s">
        <v>43</v>
      </c>
      <c r="X504">
        <v>11</v>
      </c>
      <c r="Y504">
        <v>10</v>
      </c>
      <c r="Z504" t="s">
        <v>31</v>
      </c>
    </row>
    <row r="505" spans="1:26">
      <c r="A505" t="s">
        <v>562</v>
      </c>
      <c r="B505">
        <v>29</v>
      </c>
      <c r="C505" t="str">
        <f t="shared" si="35"/>
        <v>18-35</v>
      </c>
      <c r="D505" t="s">
        <v>52</v>
      </c>
      <c r="E505" s="2">
        <v>45151</v>
      </c>
      <c r="F505" s="2" t="str">
        <f t="shared" ca="1" si="36"/>
        <v>No</v>
      </c>
      <c r="G505" s="2" t="str">
        <f t="shared" si="37"/>
        <v>Aug-2023</v>
      </c>
      <c r="H505" s="2">
        <v>45159</v>
      </c>
      <c r="I505">
        <v>8</v>
      </c>
      <c r="J505" t="s">
        <v>50</v>
      </c>
      <c r="K505">
        <v>3</v>
      </c>
      <c r="L505" t="s">
        <v>66</v>
      </c>
      <c r="M505" s="9">
        <v>35615</v>
      </c>
      <c r="N505" t="s">
        <v>25</v>
      </c>
      <c r="O505" t="s">
        <v>26</v>
      </c>
      <c r="P505" t="s">
        <v>41</v>
      </c>
      <c r="Q505" s="2">
        <v>45207</v>
      </c>
      <c r="R505" s="13">
        <f t="shared" si="38"/>
        <v>45120.000000003492</v>
      </c>
      <c r="S505" s="13">
        <f t="shared" si="39"/>
        <v>316.05633802834467</v>
      </c>
      <c r="T505" s="2">
        <v>45238.333333333336</v>
      </c>
      <c r="U505" t="s">
        <v>28</v>
      </c>
      <c r="V505" t="s">
        <v>38</v>
      </c>
      <c r="W505" t="s">
        <v>30</v>
      </c>
      <c r="X505">
        <v>9</v>
      </c>
      <c r="Y505">
        <v>12</v>
      </c>
      <c r="Z505" t="s">
        <v>48</v>
      </c>
    </row>
    <row r="506" spans="1:26">
      <c r="A506" t="s">
        <v>563</v>
      </c>
      <c r="B506">
        <v>36</v>
      </c>
      <c r="C506" t="str">
        <f t="shared" si="35"/>
        <v>36-50</v>
      </c>
      <c r="D506" t="s">
        <v>62</v>
      </c>
      <c r="E506" s="2">
        <v>45117</v>
      </c>
      <c r="F506" s="2" t="str">
        <f t="shared" ca="1" si="36"/>
        <v>No</v>
      </c>
      <c r="G506" s="2" t="str">
        <f t="shared" si="37"/>
        <v>Jul-2023</v>
      </c>
      <c r="H506" s="2">
        <v>45148</v>
      </c>
      <c r="I506">
        <v>1</v>
      </c>
      <c r="J506" t="s">
        <v>57</v>
      </c>
      <c r="K506">
        <v>1</v>
      </c>
      <c r="L506" t="s">
        <v>66</v>
      </c>
      <c r="M506" s="9">
        <v>18746</v>
      </c>
      <c r="N506" t="s">
        <v>53</v>
      </c>
      <c r="O506" t="s">
        <v>26</v>
      </c>
      <c r="P506" t="s">
        <v>27</v>
      </c>
      <c r="Q506" s="2">
        <v>45087</v>
      </c>
      <c r="R506" s="13">
        <f t="shared" si="38"/>
        <v>599.99999999650754</v>
      </c>
      <c r="S506" s="13">
        <f t="shared" si="39"/>
        <v>225.72580645178189</v>
      </c>
      <c r="T506" s="2">
        <v>45087.416666666664</v>
      </c>
      <c r="U506" t="s">
        <v>42</v>
      </c>
      <c r="V506" t="s">
        <v>29</v>
      </c>
      <c r="W506" t="s">
        <v>43</v>
      </c>
      <c r="X506">
        <v>10</v>
      </c>
      <c r="Y506">
        <v>10</v>
      </c>
      <c r="Z506" t="s">
        <v>48</v>
      </c>
    </row>
    <row r="507" spans="1:26">
      <c r="A507" t="s">
        <v>564</v>
      </c>
      <c r="B507">
        <v>89</v>
      </c>
      <c r="C507" t="str">
        <f t="shared" si="35"/>
        <v>66+</v>
      </c>
      <c r="D507" t="s">
        <v>52</v>
      </c>
      <c r="E507" s="2">
        <v>45373</v>
      </c>
      <c r="F507" s="2" t="str">
        <f t="shared" ca="1" si="36"/>
        <v>No</v>
      </c>
      <c r="G507" s="2" t="str">
        <f t="shared" si="37"/>
        <v>Mar-2024</v>
      </c>
      <c r="H507" s="2">
        <v>45374</v>
      </c>
      <c r="I507">
        <v>1</v>
      </c>
      <c r="J507" t="s">
        <v>63</v>
      </c>
      <c r="K507">
        <v>5</v>
      </c>
      <c r="L507" t="s">
        <v>66</v>
      </c>
      <c r="M507" s="9">
        <v>25921</v>
      </c>
      <c r="N507" t="s">
        <v>53</v>
      </c>
      <c r="O507" t="s">
        <v>54</v>
      </c>
      <c r="P507" t="s">
        <v>27</v>
      </c>
      <c r="Q507" s="2">
        <v>45369</v>
      </c>
      <c r="R507" s="13">
        <f t="shared" si="38"/>
        <v>2219.9999999965075</v>
      </c>
      <c r="S507" s="13">
        <f t="shared" si="39"/>
        <v>224.96969696987335</v>
      </c>
      <c r="T507" s="2">
        <v>45370.541666666664</v>
      </c>
      <c r="U507" t="s">
        <v>37</v>
      </c>
      <c r="V507" t="s">
        <v>29</v>
      </c>
      <c r="W507" t="s">
        <v>43</v>
      </c>
      <c r="X507">
        <v>6</v>
      </c>
      <c r="Y507">
        <v>8</v>
      </c>
      <c r="Z507" t="s">
        <v>31</v>
      </c>
    </row>
    <row r="508" spans="1:26">
      <c r="A508" t="s">
        <v>565</v>
      </c>
      <c r="B508">
        <v>21</v>
      </c>
      <c r="C508" t="str">
        <f t="shared" si="35"/>
        <v>18-35</v>
      </c>
      <c r="D508" t="s">
        <v>62</v>
      </c>
      <c r="E508" s="2">
        <v>45631</v>
      </c>
      <c r="F508" s="2" t="str">
        <f t="shared" ca="1" si="36"/>
        <v>No</v>
      </c>
      <c r="G508" s="2" t="str">
        <f t="shared" si="37"/>
        <v>Dec-2024</v>
      </c>
      <c r="H508" s="2">
        <v>45430</v>
      </c>
      <c r="I508">
        <v>6</v>
      </c>
      <c r="J508" t="s">
        <v>23</v>
      </c>
      <c r="K508">
        <v>3</v>
      </c>
      <c r="L508" t="s">
        <v>24</v>
      </c>
      <c r="M508" s="9">
        <v>27745</v>
      </c>
      <c r="N508" t="s">
        <v>67</v>
      </c>
      <c r="O508" t="s">
        <v>54</v>
      </c>
      <c r="P508" t="s">
        <v>27</v>
      </c>
      <c r="Q508" s="2">
        <v>45540</v>
      </c>
      <c r="R508" s="13">
        <f t="shared" si="38"/>
        <v>44220.000000003492</v>
      </c>
      <c r="S508" s="13">
        <f t="shared" si="39"/>
        <v>220.93117408925264</v>
      </c>
      <c r="T508" s="2">
        <v>45570.708333333336</v>
      </c>
      <c r="U508" t="s">
        <v>42</v>
      </c>
      <c r="V508" t="s">
        <v>38</v>
      </c>
      <c r="W508" t="s">
        <v>30</v>
      </c>
      <c r="X508">
        <v>4</v>
      </c>
      <c r="Y508">
        <v>10</v>
      </c>
      <c r="Z508" t="s">
        <v>48</v>
      </c>
    </row>
    <row r="509" spans="1:26">
      <c r="A509" t="s">
        <v>566</v>
      </c>
      <c r="B509">
        <v>36</v>
      </c>
      <c r="C509" t="str">
        <f t="shared" si="35"/>
        <v>36-50</v>
      </c>
      <c r="D509" t="s">
        <v>33</v>
      </c>
      <c r="E509" s="2">
        <v>44956</v>
      </c>
      <c r="F509" s="2" t="str">
        <f t="shared" ca="1" si="36"/>
        <v>No</v>
      </c>
      <c r="G509" s="2" t="str">
        <f t="shared" si="37"/>
        <v>Jan-2023</v>
      </c>
      <c r="H509" s="2">
        <v>44970</v>
      </c>
      <c r="I509">
        <v>14</v>
      </c>
      <c r="J509" t="s">
        <v>57</v>
      </c>
      <c r="K509">
        <v>3</v>
      </c>
      <c r="L509" t="s">
        <v>24</v>
      </c>
      <c r="M509" s="9">
        <v>6245</v>
      </c>
      <c r="N509" t="s">
        <v>25</v>
      </c>
      <c r="O509" t="s">
        <v>26</v>
      </c>
      <c r="P509" t="s">
        <v>27</v>
      </c>
      <c r="Q509" s="2">
        <v>44954</v>
      </c>
      <c r="R509" s="13">
        <f t="shared" si="38"/>
        <v>1080</v>
      </c>
      <c r="S509" s="13">
        <f t="shared" si="39"/>
        <v>131.68356997989312</v>
      </c>
      <c r="T509" s="2">
        <v>44954.75</v>
      </c>
      <c r="U509" t="s">
        <v>28</v>
      </c>
      <c r="V509" t="s">
        <v>29</v>
      </c>
      <c r="W509" t="s">
        <v>47</v>
      </c>
      <c r="X509">
        <v>8</v>
      </c>
      <c r="Y509">
        <v>12</v>
      </c>
      <c r="Z509" t="s">
        <v>68</v>
      </c>
    </row>
    <row r="510" spans="1:26">
      <c r="A510" t="s">
        <v>567</v>
      </c>
      <c r="B510">
        <v>10</v>
      </c>
      <c r="C510" t="str">
        <f t="shared" si="35"/>
        <v>0-17</v>
      </c>
      <c r="D510" t="s">
        <v>52</v>
      </c>
      <c r="E510" s="2">
        <v>45353</v>
      </c>
      <c r="F510" s="2" t="str">
        <f t="shared" ca="1" si="36"/>
        <v>No</v>
      </c>
      <c r="G510" s="2" t="str">
        <f t="shared" si="37"/>
        <v>Mar-2024</v>
      </c>
      <c r="H510" s="2">
        <v>45506</v>
      </c>
      <c r="I510">
        <v>5</v>
      </c>
      <c r="J510" t="s">
        <v>34</v>
      </c>
      <c r="K510">
        <v>5</v>
      </c>
      <c r="L510" t="s">
        <v>46</v>
      </c>
      <c r="M510" s="9">
        <v>29853</v>
      </c>
      <c r="N510" t="s">
        <v>36</v>
      </c>
      <c r="O510" t="s">
        <v>54</v>
      </c>
      <c r="P510" t="s">
        <v>27</v>
      </c>
      <c r="Q510" s="2">
        <v>45324</v>
      </c>
      <c r="R510" s="13">
        <f t="shared" si="38"/>
        <v>42780.000000003492</v>
      </c>
      <c r="S510" s="13">
        <f t="shared" si="39"/>
        <v>129.75609756115307</v>
      </c>
      <c r="T510" s="2">
        <v>45353.708333333336</v>
      </c>
      <c r="U510" t="s">
        <v>42</v>
      </c>
      <c r="V510" t="s">
        <v>29</v>
      </c>
      <c r="W510" t="s">
        <v>47</v>
      </c>
      <c r="X510">
        <v>5</v>
      </c>
      <c r="Y510">
        <v>8</v>
      </c>
      <c r="Z510" t="s">
        <v>31</v>
      </c>
    </row>
    <row r="511" spans="1:26">
      <c r="A511" t="s">
        <v>568</v>
      </c>
      <c r="B511">
        <v>73</v>
      </c>
      <c r="C511" t="str">
        <f t="shared" si="35"/>
        <v>66+</v>
      </c>
      <c r="D511" t="s">
        <v>45</v>
      </c>
      <c r="E511" s="2">
        <v>45242</v>
      </c>
      <c r="F511" s="2" t="str">
        <f t="shared" ca="1" si="36"/>
        <v>No</v>
      </c>
      <c r="G511" s="2" t="str">
        <f t="shared" si="37"/>
        <v>Nov-2023</v>
      </c>
      <c r="H511" s="2">
        <v>45273</v>
      </c>
      <c r="I511">
        <v>2</v>
      </c>
      <c r="J511" t="s">
        <v>23</v>
      </c>
      <c r="K511">
        <v>4</v>
      </c>
      <c r="L511" t="s">
        <v>66</v>
      </c>
      <c r="M511" s="9">
        <v>32632</v>
      </c>
      <c r="N511" t="s">
        <v>36</v>
      </c>
      <c r="O511" t="s">
        <v>54</v>
      </c>
      <c r="P511" t="s">
        <v>41</v>
      </c>
      <c r="Q511" s="2">
        <v>45242</v>
      </c>
      <c r="R511" s="13">
        <f t="shared" si="38"/>
        <v>43380</v>
      </c>
      <c r="S511" s="13">
        <f t="shared" si="39"/>
        <v>42.892057026647286</v>
      </c>
      <c r="T511" s="2">
        <v>45272.125</v>
      </c>
      <c r="U511" t="s">
        <v>42</v>
      </c>
      <c r="V511" t="s">
        <v>29</v>
      </c>
      <c r="W511" t="s">
        <v>43</v>
      </c>
      <c r="X511">
        <v>5</v>
      </c>
      <c r="Y511">
        <v>12</v>
      </c>
      <c r="Z511" t="s">
        <v>31</v>
      </c>
    </row>
    <row r="512" spans="1:26">
      <c r="A512" t="s">
        <v>569</v>
      </c>
      <c r="B512">
        <v>24</v>
      </c>
      <c r="C512" t="str">
        <f t="shared" si="35"/>
        <v>18-35</v>
      </c>
      <c r="D512" t="s">
        <v>41</v>
      </c>
      <c r="E512" s="2">
        <v>45341</v>
      </c>
      <c r="F512" s="2" t="str">
        <f t="shared" ca="1" si="36"/>
        <v>No</v>
      </c>
      <c r="G512" s="2" t="str">
        <f t="shared" si="37"/>
        <v>Feb-2024</v>
      </c>
      <c r="H512" s="2">
        <v>45294</v>
      </c>
      <c r="I512">
        <v>11</v>
      </c>
      <c r="J512" t="s">
        <v>63</v>
      </c>
      <c r="K512">
        <v>5</v>
      </c>
      <c r="L512" t="s">
        <v>24</v>
      </c>
      <c r="M512" s="9">
        <v>17856</v>
      </c>
      <c r="N512" t="s">
        <v>60</v>
      </c>
      <c r="O512" t="s">
        <v>54</v>
      </c>
      <c r="P512" t="s">
        <v>27</v>
      </c>
      <c r="Q512" s="2">
        <v>45339</v>
      </c>
      <c r="R512" s="13">
        <f t="shared" si="38"/>
        <v>1499.9999999965075</v>
      </c>
      <c r="S512" s="13">
        <f t="shared" si="39"/>
        <v>-45.551020407992205</v>
      </c>
      <c r="T512" s="2">
        <v>45340.041666666664</v>
      </c>
      <c r="U512" t="s">
        <v>37</v>
      </c>
      <c r="V512" t="s">
        <v>29</v>
      </c>
      <c r="W512" t="s">
        <v>47</v>
      </c>
      <c r="X512">
        <v>5</v>
      </c>
      <c r="Y512">
        <v>12</v>
      </c>
      <c r="Z512" t="s">
        <v>48</v>
      </c>
    </row>
    <row r="513" spans="1:26">
      <c r="A513" t="s">
        <v>570</v>
      </c>
      <c r="B513">
        <v>64</v>
      </c>
      <c r="C513" t="str">
        <f t="shared" si="35"/>
        <v>51-65</v>
      </c>
      <c r="D513" t="s">
        <v>41</v>
      </c>
      <c r="E513" s="2">
        <v>45096</v>
      </c>
      <c r="F513" s="2" t="str">
        <f t="shared" ca="1" si="36"/>
        <v>No</v>
      </c>
      <c r="G513" s="2" t="str">
        <f t="shared" si="37"/>
        <v>Jun-2023</v>
      </c>
      <c r="H513" s="2">
        <v>44992</v>
      </c>
      <c r="I513">
        <v>14</v>
      </c>
      <c r="J513" t="s">
        <v>63</v>
      </c>
      <c r="K513">
        <v>5</v>
      </c>
      <c r="L513" t="s">
        <v>35</v>
      </c>
      <c r="M513" s="9">
        <v>10105</v>
      </c>
      <c r="N513" t="s">
        <v>53</v>
      </c>
      <c r="O513" t="s">
        <v>26</v>
      </c>
      <c r="P513" t="s">
        <v>41</v>
      </c>
      <c r="Q513" s="2">
        <v>45095</v>
      </c>
      <c r="R513" s="13">
        <f t="shared" si="38"/>
        <v>1740.0000000034925</v>
      </c>
      <c r="S513" s="13">
        <f t="shared" si="39"/>
        <v>-48.71165644153924</v>
      </c>
      <c r="T513" s="2">
        <v>45096.208333333336</v>
      </c>
      <c r="U513" t="s">
        <v>64</v>
      </c>
      <c r="V513" t="s">
        <v>29</v>
      </c>
      <c r="W513" t="s">
        <v>47</v>
      </c>
      <c r="X513">
        <v>10</v>
      </c>
      <c r="Y513">
        <v>8</v>
      </c>
      <c r="Z513" t="s">
        <v>31</v>
      </c>
    </row>
    <row r="514" spans="1:26">
      <c r="A514" t="s">
        <v>571</v>
      </c>
      <c r="B514">
        <v>49</v>
      </c>
      <c r="C514" t="str">
        <f t="shared" si="35"/>
        <v>36-50</v>
      </c>
      <c r="D514" t="s">
        <v>62</v>
      </c>
      <c r="E514" s="2">
        <v>45405</v>
      </c>
      <c r="F514" s="2" t="str">
        <f t="shared" ca="1" si="36"/>
        <v>No</v>
      </c>
      <c r="G514" s="2" t="str">
        <f t="shared" si="37"/>
        <v>Apr-2024</v>
      </c>
      <c r="H514" s="2">
        <v>45478</v>
      </c>
      <c r="I514">
        <v>14</v>
      </c>
      <c r="J514" t="s">
        <v>50</v>
      </c>
      <c r="K514">
        <v>4</v>
      </c>
      <c r="L514" t="s">
        <v>46</v>
      </c>
      <c r="M514" s="9">
        <v>40690</v>
      </c>
      <c r="N514" t="s">
        <v>60</v>
      </c>
      <c r="O514" t="s">
        <v>26</v>
      </c>
      <c r="P514" t="s">
        <v>27</v>
      </c>
      <c r="Q514" s="2">
        <v>45400</v>
      </c>
      <c r="R514" s="13">
        <f t="shared" si="38"/>
        <v>300.00000000349246</v>
      </c>
      <c r="S514" s="13">
        <f t="shared" si="39"/>
        <v>-52.377049180156106</v>
      </c>
      <c r="T514" s="2">
        <v>45400.208333333336</v>
      </c>
      <c r="U514" t="s">
        <v>42</v>
      </c>
      <c r="V514" t="s">
        <v>29</v>
      </c>
      <c r="W514" t="s">
        <v>43</v>
      </c>
      <c r="X514">
        <v>9</v>
      </c>
      <c r="Y514">
        <v>12</v>
      </c>
      <c r="Z514" t="s">
        <v>68</v>
      </c>
    </row>
    <row r="515" spans="1:26">
      <c r="A515" t="s">
        <v>572</v>
      </c>
      <c r="B515">
        <v>36</v>
      </c>
      <c r="C515" t="str">
        <f t="shared" ref="C515:C578" si="40">IF(B515&lt;18,"0-17",IF(B515&lt;=35,"18-35",IF(B515&lt;=50,"36-50",IF(B515&lt;=65,"51-65","66+"))))</f>
        <v>36-50</v>
      </c>
      <c r="D515" t="s">
        <v>45</v>
      </c>
      <c r="E515" s="2">
        <v>45235</v>
      </c>
      <c r="F515" s="2" t="str">
        <f t="shared" ref="F515:F578" ca="1" si="41">IF(E515&gt;=EDATE(TODAY(),-12),"Yes","No")</f>
        <v>No</v>
      </c>
      <c r="G515" s="2" t="str">
        <f t="shared" ref="G515:G578" si="42">TEXT(E515,"mmm-yyyy")</f>
        <v>Nov-2023</v>
      </c>
      <c r="H515" s="2">
        <v>45059</v>
      </c>
      <c r="I515">
        <v>2</v>
      </c>
      <c r="J515" t="s">
        <v>34</v>
      </c>
      <c r="K515">
        <v>4</v>
      </c>
      <c r="L515" t="s">
        <v>71</v>
      </c>
      <c r="M515" s="9">
        <v>7513</v>
      </c>
      <c r="N515" t="s">
        <v>67</v>
      </c>
      <c r="O515" t="s">
        <v>54</v>
      </c>
      <c r="P515" t="s">
        <v>27</v>
      </c>
      <c r="Q515" s="2">
        <v>45143</v>
      </c>
      <c r="R515" s="13">
        <f t="shared" ref="R515:R578" si="43">(T515-Q515)*1440</f>
        <v>45660.000000003492</v>
      </c>
      <c r="S515" s="13">
        <f t="shared" ref="S515:S578" si="44">AVERAGE(R515:R1013)</f>
        <v>-53.100616016262165</v>
      </c>
      <c r="T515" s="2">
        <v>45174.708333333336</v>
      </c>
      <c r="U515" t="s">
        <v>42</v>
      </c>
      <c r="V515" t="s">
        <v>29</v>
      </c>
      <c r="W515" t="s">
        <v>30</v>
      </c>
      <c r="X515">
        <v>7</v>
      </c>
      <c r="Y515">
        <v>10</v>
      </c>
      <c r="Z515" t="s">
        <v>48</v>
      </c>
    </row>
    <row r="516" spans="1:26">
      <c r="A516" t="s">
        <v>573</v>
      </c>
      <c r="B516">
        <v>82</v>
      </c>
      <c r="C516" t="str">
        <f t="shared" si="40"/>
        <v>66+</v>
      </c>
      <c r="D516" t="s">
        <v>52</v>
      </c>
      <c r="E516" s="2">
        <v>44954</v>
      </c>
      <c r="F516" s="2" t="str">
        <f t="shared" ca="1" si="41"/>
        <v>No</v>
      </c>
      <c r="G516" s="2" t="str">
        <f t="shared" si="42"/>
        <v>Jan-2023</v>
      </c>
      <c r="H516" s="2">
        <v>45109</v>
      </c>
      <c r="I516">
        <v>10</v>
      </c>
      <c r="J516" t="s">
        <v>23</v>
      </c>
      <c r="K516">
        <v>4</v>
      </c>
      <c r="L516" t="s">
        <v>46</v>
      </c>
      <c r="M516" s="9">
        <v>7801</v>
      </c>
      <c r="N516" t="s">
        <v>36</v>
      </c>
      <c r="O516" t="s">
        <v>54</v>
      </c>
      <c r="P516" t="s">
        <v>41</v>
      </c>
      <c r="Q516" s="2">
        <v>44949</v>
      </c>
      <c r="R516" s="13">
        <f t="shared" si="43"/>
        <v>360</v>
      </c>
      <c r="S516" s="13">
        <f t="shared" si="44"/>
        <v>-147.1604938270024</v>
      </c>
      <c r="T516" s="2">
        <v>44949.25</v>
      </c>
      <c r="U516" t="s">
        <v>28</v>
      </c>
      <c r="V516" t="s">
        <v>29</v>
      </c>
      <c r="W516" t="s">
        <v>43</v>
      </c>
      <c r="X516">
        <v>11</v>
      </c>
      <c r="Y516">
        <v>12</v>
      </c>
      <c r="Z516" t="s">
        <v>48</v>
      </c>
    </row>
    <row r="517" spans="1:26">
      <c r="A517" t="s">
        <v>574</v>
      </c>
      <c r="B517">
        <v>24</v>
      </c>
      <c r="C517" t="str">
        <f t="shared" si="40"/>
        <v>18-35</v>
      </c>
      <c r="D517" t="s">
        <v>45</v>
      </c>
      <c r="E517" s="2">
        <v>45506</v>
      </c>
      <c r="F517" s="2" t="str">
        <f t="shared" ca="1" si="41"/>
        <v>No</v>
      </c>
      <c r="G517" s="2" t="str">
        <f t="shared" si="42"/>
        <v>Aug-2024</v>
      </c>
      <c r="H517" s="2">
        <v>45340</v>
      </c>
      <c r="I517">
        <v>10</v>
      </c>
      <c r="J517" t="s">
        <v>23</v>
      </c>
      <c r="K517">
        <v>4</v>
      </c>
      <c r="L517" t="s">
        <v>71</v>
      </c>
      <c r="M517" s="9">
        <v>37345</v>
      </c>
      <c r="N517" t="s">
        <v>53</v>
      </c>
      <c r="O517" t="s">
        <v>26</v>
      </c>
      <c r="P517" t="s">
        <v>41</v>
      </c>
      <c r="Q517" s="2">
        <v>45445</v>
      </c>
      <c r="R517" s="13">
        <f t="shared" si="43"/>
        <v>43320.000000003492</v>
      </c>
      <c r="S517" s="13">
        <f t="shared" si="44"/>
        <v>-148.2061855668519</v>
      </c>
      <c r="T517" s="2">
        <v>45475.083333333336</v>
      </c>
      <c r="U517" t="s">
        <v>28</v>
      </c>
      <c r="V517" t="s">
        <v>38</v>
      </c>
      <c r="W517" t="s">
        <v>43</v>
      </c>
      <c r="X517">
        <v>10</v>
      </c>
      <c r="Y517">
        <v>12</v>
      </c>
      <c r="Z517" t="s">
        <v>31</v>
      </c>
    </row>
    <row r="518" spans="1:26">
      <c r="A518" t="s">
        <v>575</v>
      </c>
      <c r="B518">
        <v>23</v>
      </c>
      <c r="C518" t="str">
        <f t="shared" si="40"/>
        <v>18-35</v>
      </c>
      <c r="D518" t="s">
        <v>45</v>
      </c>
      <c r="E518" s="2">
        <v>44954</v>
      </c>
      <c r="F518" s="2" t="str">
        <f t="shared" ca="1" si="41"/>
        <v>No</v>
      </c>
      <c r="G518" s="2" t="str">
        <f t="shared" si="42"/>
        <v>Jan-2023</v>
      </c>
      <c r="H518" s="2">
        <v>45079</v>
      </c>
      <c r="I518">
        <v>9</v>
      </c>
      <c r="J518" t="s">
        <v>40</v>
      </c>
      <c r="K518">
        <v>4</v>
      </c>
      <c r="L518" t="s">
        <v>66</v>
      </c>
      <c r="M518" s="9">
        <v>18895</v>
      </c>
      <c r="N518" t="s">
        <v>67</v>
      </c>
      <c r="O518" t="s">
        <v>54</v>
      </c>
      <c r="P518" t="s">
        <v>27</v>
      </c>
      <c r="Q518" s="2">
        <v>44949</v>
      </c>
      <c r="R518" s="13">
        <f t="shared" si="43"/>
        <v>1980</v>
      </c>
      <c r="S518" s="13">
        <f t="shared" si="44"/>
        <v>-238.01652892546829</v>
      </c>
      <c r="T518" s="2">
        <v>44950.375</v>
      </c>
      <c r="U518" t="s">
        <v>28</v>
      </c>
      <c r="V518" t="s">
        <v>29</v>
      </c>
      <c r="W518" t="s">
        <v>43</v>
      </c>
      <c r="X518">
        <v>9</v>
      </c>
      <c r="Y518">
        <v>12</v>
      </c>
      <c r="Z518" t="s">
        <v>31</v>
      </c>
    </row>
    <row r="519" spans="1:26">
      <c r="A519" t="s">
        <v>576</v>
      </c>
      <c r="B519">
        <v>62</v>
      </c>
      <c r="C519" t="str">
        <f t="shared" si="40"/>
        <v>51-65</v>
      </c>
      <c r="D519" t="s">
        <v>52</v>
      </c>
      <c r="E519" s="2">
        <v>45012</v>
      </c>
      <c r="F519" s="2" t="str">
        <f t="shared" ca="1" si="41"/>
        <v>No</v>
      </c>
      <c r="G519" s="2" t="str">
        <f t="shared" si="42"/>
        <v>Mar-2023</v>
      </c>
      <c r="H519" s="2">
        <v>44989</v>
      </c>
      <c r="I519">
        <v>7</v>
      </c>
      <c r="J519" t="s">
        <v>50</v>
      </c>
      <c r="K519">
        <v>5</v>
      </c>
      <c r="L519" t="s">
        <v>71</v>
      </c>
      <c r="M519" s="9">
        <v>44749</v>
      </c>
      <c r="N519" t="s">
        <v>67</v>
      </c>
      <c r="O519" t="s">
        <v>54</v>
      </c>
      <c r="P519" t="s">
        <v>27</v>
      </c>
      <c r="Q519" s="2">
        <v>45011</v>
      </c>
      <c r="R519" s="13">
        <f t="shared" si="43"/>
        <v>2880</v>
      </c>
      <c r="S519" s="13">
        <f t="shared" si="44"/>
        <v>-242.60869565202208</v>
      </c>
      <c r="T519" s="2">
        <v>45013</v>
      </c>
      <c r="U519" t="s">
        <v>55</v>
      </c>
      <c r="V519" t="s">
        <v>29</v>
      </c>
      <c r="W519" t="s">
        <v>30</v>
      </c>
      <c r="X519">
        <v>5</v>
      </c>
      <c r="Y519">
        <v>10</v>
      </c>
      <c r="Z519" t="s">
        <v>31</v>
      </c>
    </row>
    <row r="520" spans="1:26">
      <c r="A520" t="s">
        <v>577</v>
      </c>
      <c r="B520">
        <v>37</v>
      </c>
      <c r="C520" t="str">
        <f t="shared" si="40"/>
        <v>36-50</v>
      </c>
      <c r="D520" t="s">
        <v>33</v>
      </c>
      <c r="E520" s="2">
        <v>45365</v>
      </c>
      <c r="F520" s="2" t="str">
        <f t="shared" ca="1" si="41"/>
        <v>No</v>
      </c>
      <c r="G520" s="2" t="str">
        <f t="shared" si="42"/>
        <v>Mar-2024</v>
      </c>
      <c r="H520" s="2">
        <v>45373</v>
      </c>
      <c r="I520">
        <v>8</v>
      </c>
      <c r="J520" t="s">
        <v>50</v>
      </c>
      <c r="K520">
        <v>2</v>
      </c>
      <c r="L520" t="s">
        <v>66</v>
      </c>
      <c r="M520" s="9">
        <v>13221</v>
      </c>
      <c r="N520" t="s">
        <v>53</v>
      </c>
      <c r="O520" t="s">
        <v>54</v>
      </c>
      <c r="P520" t="s">
        <v>27</v>
      </c>
      <c r="Q520" s="2">
        <v>45365</v>
      </c>
      <c r="R520" s="13">
        <f t="shared" si="43"/>
        <v>1080</v>
      </c>
      <c r="S520" s="13">
        <f t="shared" si="44"/>
        <v>-249.08713692930843</v>
      </c>
      <c r="T520" s="2">
        <v>45365.75</v>
      </c>
      <c r="U520" t="s">
        <v>42</v>
      </c>
      <c r="V520" t="s">
        <v>29</v>
      </c>
      <c r="W520" t="s">
        <v>30</v>
      </c>
      <c r="X520">
        <v>8</v>
      </c>
      <c r="Y520">
        <v>12</v>
      </c>
      <c r="Z520" t="s">
        <v>48</v>
      </c>
    </row>
    <row r="521" spans="1:26">
      <c r="A521" t="s">
        <v>578</v>
      </c>
      <c r="B521">
        <v>12</v>
      </c>
      <c r="C521" t="str">
        <f t="shared" si="40"/>
        <v>0-17</v>
      </c>
      <c r="D521" t="s">
        <v>45</v>
      </c>
      <c r="E521" s="2">
        <v>45065</v>
      </c>
      <c r="F521" s="2" t="str">
        <f t="shared" ca="1" si="41"/>
        <v>No</v>
      </c>
      <c r="G521" s="2" t="str">
        <f t="shared" si="42"/>
        <v>May-2023</v>
      </c>
      <c r="H521" s="2">
        <v>45075</v>
      </c>
      <c r="I521">
        <v>10</v>
      </c>
      <c r="J521" t="s">
        <v>23</v>
      </c>
      <c r="K521">
        <v>2</v>
      </c>
      <c r="L521" t="s">
        <v>35</v>
      </c>
      <c r="M521" s="9">
        <v>11038</v>
      </c>
      <c r="N521" t="s">
        <v>67</v>
      </c>
      <c r="O521" t="s">
        <v>26</v>
      </c>
      <c r="P521" t="s">
        <v>41</v>
      </c>
      <c r="Q521" s="2">
        <v>45060</v>
      </c>
      <c r="R521" s="13">
        <f t="shared" si="43"/>
        <v>2700</v>
      </c>
      <c r="S521" s="13">
        <f t="shared" si="44"/>
        <v>-251.85031185015939</v>
      </c>
      <c r="T521" s="2">
        <v>45061.875</v>
      </c>
      <c r="U521" t="s">
        <v>28</v>
      </c>
      <c r="V521" t="s">
        <v>29</v>
      </c>
      <c r="W521" t="s">
        <v>30</v>
      </c>
      <c r="X521">
        <v>11</v>
      </c>
      <c r="Y521">
        <v>12</v>
      </c>
      <c r="Z521" t="s">
        <v>31</v>
      </c>
    </row>
    <row r="522" spans="1:26">
      <c r="A522" t="s">
        <v>579</v>
      </c>
      <c r="B522">
        <v>55</v>
      </c>
      <c r="C522" t="str">
        <f t="shared" si="40"/>
        <v>51-65</v>
      </c>
      <c r="D522" t="s">
        <v>45</v>
      </c>
      <c r="E522" s="2">
        <v>45399</v>
      </c>
      <c r="F522" s="2" t="str">
        <f t="shared" ca="1" si="41"/>
        <v>No</v>
      </c>
      <c r="G522" s="2" t="str">
        <f t="shared" si="42"/>
        <v>Apr-2024</v>
      </c>
      <c r="H522" s="2">
        <v>45408</v>
      </c>
      <c r="I522">
        <v>9</v>
      </c>
      <c r="J522" t="s">
        <v>23</v>
      </c>
      <c r="K522">
        <v>1</v>
      </c>
      <c r="L522" t="s">
        <v>71</v>
      </c>
      <c r="M522" s="9">
        <v>37031</v>
      </c>
      <c r="N522" t="s">
        <v>53</v>
      </c>
      <c r="O522" t="s">
        <v>54</v>
      </c>
      <c r="P522" t="s">
        <v>41</v>
      </c>
      <c r="Q522" s="2">
        <v>45397</v>
      </c>
      <c r="R522" s="13">
        <f t="shared" si="43"/>
        <v>1440</v>
      </c>
      <c r="S522" s="13">
        <f t="shared" si="44"/>
        <v>-257.9999999998472</v>
      </c>
      <c r="T522" s="2">
        <v>45398</v>
      </c>
      <c r="U522" t="s">
        <v>37</v>
      </c>
      <c r="V522" t="s">
        <v>29</v>
      </c>
      <c r="W522" t="s">
        <v>30</v>
      </c>
      <c r="X522">
        <v>6</v>
      </c>
      <c r="Y522">
        <v>10</v>
      </c>
      <c r="Z522" t="s">
        <v>68</v>
      </c>
    </row>
    <row r="523" spans="1:26">
      <c r="A523" t="s">
        <v>580</v>
      </c>
      <c r="B523">
        <v>13</v>
      </c>
      <c r="C523" t="str">
        <f t="shared" si="40"/>
        <v>0-17</v>
      </c>
      <c r="D523" t="s">
        <v>33</v>
      </c>
      <c r="E523" s="2">
        <v>45084</v>
      </c>
      <c r="F523" s="2" t="str">
        <f t="shared" ca="1" si="41"/>
        <v>No</v>
      </c>
      <c r="G523" s="2" t="str">
        <f t="shared" si="42"/>
        <v>Jun-2023</v>
      </c>
      <c r="H523" s="2">
        <v>45126</v>
      </c>
      <c r="I523">
        <v>13</v>
      </c>
      <c r="J523" t="s">
        <v>57</v>
      </c>
      <c r="K523">
        <v>2</v>
      </c>
      <c r="L523" t="s">
        <v>46</v>
      </c>
      <c r="M523" s="9">
        <v>20082</v>
      </c>
      <c r="N523" t="s">
        <v>53</v>
      </c>
      <c r="O523" t="s">
        <v>26</v>
      </c>
      <c r="P523" t="s">
        <v>27</v>
      </c>
      <c r="Q523" s="2">
        <v>45023</v>
      </c>
      <c r="R523" s="13">
        <f t="shared" si="43"/>
        <v>43560</v>
      </c>
      <c r="S523" s="13">
        <f t="shared" si="44"/>
        <v>-261.54488517729993</v>
      </c>
      <c r="T523" s="2">
        <v>45053.25</v>
      </c>
      <c r="U523" t="s">
        <v>55</v>
      </c>
      <c r="V523" t="s">
        <v>38</v>
      </c>
      <c r="W523" t="s">
        <v>43</v>
      </c>
      <c r="X523">
        <v>9</v>
      </c>
      <c r="Y523">
        <v>8</v>
      </c>
      <c r="Z523" t="s">
        <v>31</v>
      </c>
    </row>
    <row r="524" spans="1:26">
      <c r="A524" t="s">
        <v>581</v>
      </c>
      <c r="B524">
        <v>23</v>
      </c>
      <c r="C524" t="str">
        <f t="shared" si="40"/>
        <v>18-35</v>
      </c>
      <c r="D524" t="s">
        <v>45</v>
      </c>
      <c r="E524" s="2">
        <v>44978</v>
      </c>
      <c r="F524" s="2" t="str">
        <f t="shared" ca="1" si="41"/>
        <v>No</v>
      </c>
      <c r="G524" s="2" t="str">
        <f t="shared" si="42"/>
        <v>Feb-2023</v>
      </c>
      <c r="H524" s="2">
        <v>45049</v>
      </c>
      <c r="I524">
        <v>12</v>
      </c>
      <c r="J524" t="s">
        <v>57</v>
      </c>
      <c r="K524">
        <v>2</v>
      </c>
      <c r="L524" t="s">
        <v>66</v>
      </c>
      <c r="M524" s="9">
        <v>19648</v>
      </c>
      <c r="N524" t="s">
        <v>25</v>
      </c>
      <c r="O524" t="s">
        <v>54</v>
      </c>
      <c r="P524" t="s">
        <v>27</v>
      </c>
      <c r="Q524" s="2">
        <v>44974</v>
      </c>
      <c r="R524" s="13">
        <f t="shared" si="43"/>
        <v>1920.0000000034925</v>
      </c>
      <c r="S524" s="13">
        <f t="shared" si="44"/>
        <v>-353.22175732202231</v>
      </c>
      <c r="T524" s="2">
        <v>44975.333333333336</v>
      </c>
      <c r="U524" t="s">
        <v>64</v>
      </c>
      <c r="V524" t="s">
        <v>29</v>
      </c>
      <c r="W524" t="s">
        <v>47</v>
      </c>
      <c r="X524">
        <v>8</v>
      </c>
      <c r="Y524">
        <v>8</v>
      </c>
      <c r="Z524" t="s">
        <v>31</v>
      </c>
    </row>
    <row r="525" spans="1:26">
      <c r="A525" t="s">
        <v>582</v>
      </c>
      <c r="B525">
        <v>89</v>
      </c>
      <c r="C525" t="str">
        <f t="shared" si="40"/>
        <v>66+</v>
      </c>
      <c r="D525" t="s">
        <v>45</v>
      </c>
      <c r="E525" s="2">
        <v>45193</v>
      </c>
      <c r="F525" s="2" t="str">
        <f t="shared" ca="1" si="41"/>
        <v>No</v>
      </c>
      <c r="G525" s="2" t="str">
        <f t="shared" si="42"/>
        <v>Sep-2023</v>
      </c>
      <c r="H525" s="2">
        <v>45179</v>
      </c>
      <c r="I525">
        <v>15</v>
      </c>
      <c r="J525" t="s">
        <v>57</v>
      </c>
      <c r="K525">
        <v>5</v>
      </c>
      <c r="L525" t="s">
        <v>46</v>
      </c>
      <c r="M525" s="9">
        <v>5364</v>
      </c>
      <c r="N525" t="s">
        <v>60</v>
      </c>
      <c r="O525" t="s">
        <v>26</v>
      </c>
      <c r="P525" t="s">
        <v>41</v>
      </c>
      <c r="Q525" s="2">
        <v>45188</v>
      </c>
      <c r="R525" s="13">
        <f t="shared" si="43"/>
        <v>1260</v>
      </c>
      <c r="S525" s="13">
        <f t="shared" si="44"/>
        <v>-357.98742138350138</v>
      </c>
      <c r="T525" s="2">
        <v>45188.875</v>
      </c>
      <c r="U525" t="s">
        <v>42</v>
      </c>
      <c r="V525" t="s">
        <v>29</v>
      </c>
      <c r="W525" t="s">
        <v>43</v>
      </c>
      <c r="X525">
        <v>10</v>
      </c>
      <c r="Y525">
        <v>8</v>
      </c>
      <c r="Z525" t="s">
        <v>48</v>
      </c>
    </row>
    <row r="526" spans="1:26">
      <c r="A526" t="s">
        <v>583</v>
      </c>
      <c r="B526">
        <v>30</v>
      </c>
      <c r="C526" t="str">
        <f t="shared" si="40"/>
        <v>18-35</v>
      </c>
      <c r="D526" t="s">
        <v>45</v>
      </c>
      <c r="E526" s="2">
        <v>45315</v>
      </c>
      <c r="F526" s="2" t="str">
        <f t="shared" ca="1" si="41"/>
        <v>No</v>
      </c>
      <c r="G526" s="2" t="str">
        <f t="shared" si="42"/>
        <v>Jan-2024</v>
      </c>
      <c r="H526" s="2">
        <v>45316</v>
      </c>
      <c r="I526">
        <v>1</v>
      </c>
      <c r="J526" t="s">
        <v>50</v>
      </c>
      <c r="K526">
        <v>4</v>
      </c>
      <c r="L526" t="s">
        <v>24</v>
      </c>
      <c r="M526" s="9">
        <v>39568</v>
      </c>
      <c r="N526" t="s">
        <v>67</v>
      </c>
      <c r="O526" t="s">
        <v>26</v>
      </c>
      <c r="P526" t="s">
        <v>27</v>
      </c>
      <c r="Q526" s="2">
        <v>45314</v>
      </c>
      <c r="R526" s="13">
        <f t="shared" si="43"/>
        <v>2280.0000000034925</v>
      </c>
      <c r="S526" s="13">
        <f t="shared" si="44"/>
        <v>-361.38655462170198</v>
      </c>
      <c r="T526" s="2">
        <v>45315.583333333336</v>
      </c>
      <c r="U526" t="s">
        <v>42</v>
      </c>
      <c r="V526" t="s">
        <v>29</v>
      </c>
      <c r="W526" t="s">
        <v>30</v>
      </c>
      <c r="X526">
        <v>10</v>
      </c>
      <c r="Y526">
        <v>12</v>
      </c>
      <c r="Z526" t="s">
        <v>31</v>
      </c>
    </row>
    <row r="527" spans="1:26">
      <c r="A527" t="s">
        <v>584</v>
      </c>
      <c r="B527">
        <v>17</v>
      </c>
      <c r="C527" t="str">
        <f t="shared" si="40"/>
        <v>0-17</v>
      </c>
      <c r="D527" t="s">
        <v>41</v>
      </c>
      <c r="E527" s="2">
        <v>44969</v>
      </c>
      <c r="F527" s="2" t="str">
        <f t="shared" ca="1" si="41"/>
        <v>No</v>
      </c>
      <c r="G527" s="2" t="str">
        <f t="shared" si="42"/>
        <v>Feb-2023</v>
      </c>
      <c r="H527" s="2">
        <v>45211</v>
      </c>
      <c r="I527">
        <v>8</v>
      </c>
      <c r="J527" t="s">
        <v>40</v>
      </c>
      <c r="K527">
        <v>4</v>
      </c>
      <c r="L527" t="s">
        <v>66</v>
      </c>
      <c r="M527" s="9">
        <v>19110</v>
      </c>
      <c r="N527" t="s">
        <v>67</v>
      </c>
      <c r="O527" t="s">
        <v>54</v>
      </c>
      <c r="P527" t="s">
        <v>41</v>
      </c>
      <c r="Q527" s="2">
        <v>44938</v>
      </c>
      <c r="R527" s="13">
        <f t="shared" si="43"/>
        <v>59.99999999650754</v>
      </c>
      <c r="S527" s="13">
        <f t="shared" si="44"/>
        <v>-366.94736842091294</v>
      </c>
      <c r="T527" s="2">
        <v>44938.041666666664</v>
      </c>
      <c r="U527" t="s">
        <v>37</v>
      </c>
      <c r="V527" t="s">
        <v>29</v>
      </c>
      <c r="W527" t="s">
        <v>47</v>
      </c>
      <c r="X527">
        <v>11</v>
      </c>
      <c r="Y527">
        <v>8</v>
      </c>
      <c r="Z527" t="s">
        <v>48</v>
      </c>
    </row>
    <row r="528" spans="1:26">
      <c r="A528" t="s">
        <v>585</v>
      </c>
      <c r="B528">
        <v>62</v>
      </c>
      <c r="C528" t="str">
        <f t="shared" si="40"/>
        <v>51-65</v>
      </c>
      <c r="D528" t="s">
        <v>22</v>
      </c>
      <c r="E528" s="2">
        <v>45054</v>
      </c>
      <c r="F528" s="2" t="str">
        <f t="shared" ca="1" si="41"/>
        <v>No</v>
      </c>
      <c r="G528" s="2" t="str">
        <f t="shared" si="42"/>
        <v>May-2023</v>
      </c>
      <c r="H528" s="2">
        <v>45158</v>
      </c>
      <c r="I528">
        <v>15</v>
      </c>
      <c r="J528" t="s">
        <v>63</v>
      </c>
      <c r="K528">
        <v>5</v>
      </c>
      <c r="L528" t="s">
        <v>71</v>
      </c>
      <c r="M528" s="9">
        <v>10958</v>
      </c>
      <c r="N528" t="s">
        <v>25</v>
      </c>
      <c r="O528" t="s">
        <v>54</v>
      </c>
      <c r="P528" t="s">
        <v>27</v>
      </c>
      <c r="Q528" s="2">
        <v>44934</v>
      </c>
      <c r="R528" s="13">
        <f t="shared" si="43"/>
        <v>46020.000000003492</v>
      </c>
      <c r="S528" s="13">
        <f t="shared" si="44"/>
        <v>-367.84810126567544</v>
      </c>
      <c r="T528" s="2">
        <v>44965.958333333336</v>
      </c>
      <c r="U528" t="s">
        <v>64</v>
      </c>
      <c r="V528" t="s">
        <v>29</v>
      </c>
      <c r="W528" t="s">
        <v>43</v>
      </c>
      <c r="X528">
        <v>5</v>
      </c>
      <c r="Y528">
        <v>10</v>
      </c>
      <c r="Z528" t="s">
        <v>31</v>
      </c>
    </row>
    <row r="529" spans="1:26">
      <c r="A529" t="s">
        <v>586</v>
      </c>
      <c r="B529">
        <v>84</v>
      </c>
      <c r="C529" t="str">
        <f t="shared" si="40"/>
        <v>66+</v>
      </c>
      <c r="D529" t="s">
        <v>33</v>
      </c>
      <c r="E529" s="2">
        <v>45569</v>
      </c>
      <c r="F529" s="2" t="str">
        <f t="shared" ca="1" si="41"/>
        <v>No</v>
      </c>
      <c r="G529" s="2" t="str">
        <f t="shared" si="42"/>
        <v>Oct-2024</v>
      </c>
      <c r="H529" s="2">
        <v>45405</v>
      </c>
      <c r="I529">
        <v>13</v>
      </c>
      <c r="J529" t="s">
        <v>57</v>
      </c>
      <c r="K529">
        <v>2</v>
      </c>
      <c r="L529" t="s">
        <v>66</v>
      </c>
      <c r="M529" s="9">
        <v>14096</v>
      </c>
      <c r="N529" t="s">
        <v>25</v>
      </c>
      <c r="O529" t="s">
        <v>54</v>
      </c>
      <c r="P529" t="s">
        <v>27</v>
      </c>
      <c r="Q529" s="2">
        <v>45416</v>
      </c>
      <c r="R529" s="13">
        <f t="shared" si="43"/>
        <v>360</v>
      </c>
      <c r="S529" s="13">
        <f t="shared" si="44"/>
        <v>-465.91966173347492</v>
      </c>
      <c r="T529" s="2">
        <v>45416.25</v>
      </c>
      <c r="U529" t="s">
        <v>64</v>
      </c>
      <c r="V529" t="s">
        <v>29</v>
      </c>
      <c r="W529" t="s">
        <v>47</v>
      </c>
      <c r="X529">
        <v>6</v>
      </c>
      <c r="Y529">
        <v>12</v>
      </c>
      <c r="Z529" t="s">
        <v>68</v>
      </c>
    </row>
    <row r="530" spans="1:26">
      <c r="A530" t="s">
        <v>587</v>
      </c>
      <c r="B530">
        <v>89</v>
      </c>
      <c r="C530" t="str">
        <f t="shared" si="40"/>
        <v>66+</v>
      </c>
      <c r="D530" t="s">
        <v>45</v>
      </c>
      <c r="E530" s="2">
        <v>44938</v>
      </c>
      <c r="F530" s="2" t="str">
        <f t="shared" ca="1" si="41"/>
        <v>No</v>
      </c>
      <c r="G530" s="2" t="str">
        <f t="shared" si="42"/>
        <v>Jan-2023</v>
      </c>
      <c r="H530" s="2">
        <v>45242</v>
      </c>
      <c r="I530">
        <v>10</v>
      </c>
      <c r="J530" t="s">
        <v>40</v>
      </c>
      <c r="K530">
        <v>5</v>
      </c>
      <c r="L530" t="s">
        <v>46</v>
      </c>
      <c r="M530" s="9">
        <v>12436</v>
      </c>
      <c r="N530" t="s">
        <v>25</v>
      </c>
      <c r="O530" t="s">
        <v>54</v>
      </c>
      <c r="P530" t="s">
        <v>27</v>
      </c>
      <c r="Q530" s="2">
        <v>45258</v>
      </c>
      <c r="R530" s="13">
        <f t="shared" si="43"/>
        <v>2820.0000000034925</v>
      </c>
      <c r="S530" s="13">
        <f t="shared" si="44"/>
        <v>-467.66949152528315</v>
      </c>
      <c r="T530" s="2">
        <v>45259.958333333336</v>
      </c>
      <c r="U530" t="s">
        <v>55</v>
      </c>
      <c r="V530" t="s">
        <v>29</v>
      </c>
      <c r="W530" t="s">
        <v>30</v>
      </c>
      <c r="X530">
        <v>4</v>
      </c>
      <c r="Y530">
        <v>12</v>
      </c>
      <c r="Z530" t="s">
        <v>68</v>
      </c>
    </row>
    <row r="531" spans="1:26">
      <c r="A531" t="s">
        <v>588</v>
      </c>
      <c r="B531">
        <v>86</v>
      </c>
      <c r="C531" t="str">
        <f t="shared" si="40"/>
        <v>66+</v>
      </c>
      <c r="D531" t="s">
        <v>41</v>
      </c>
      <c r="E531" s="2">
        <v>45272</v>
      </c>
      <c r="F531" s="2" t="str">
        <f t="shared" ca="1" si="41"/>
        <v>No</v>
      </c>
      <c r="G531" s="2" t="str">
        <f t="shared" si="42"/>
        <v>Dec-2023</v>
      </c>
      <c r="H531" s="2">
        <v>45283</v>
      </c>
      <c r="I531">
        <v>11</v>
      </c>
      <c r="J531" t="s">
        <v>34</v>
      </c>
      <c r="K531">
        <v>1</v>
      </c>
      <c r="L531" t="s">
        <v>35</v>
      </c>
      <c r="M531" s="9">
        <v>26177</v>
      </c>
      <c r="N531" t="s">
        <v>36</v>
      </c>
      <c r="O531" t="s">
        <v>26</v>
      </c>
      <c r="P531" t="s">
        <v>27</v>
      </c>
      <c r="Q531" s="2">
        <v>45181</v>
      </c>
      <c r="R531" s="13">
        <f t="shared" si="43"/>
        <v>43560</v>
      </c>
      <c r="S531" s="13">
        <f t="shared" si="44"/>
        <v>-474.64968152852896</v>
      </c>
      <c r="T531" s="2">
        <v>45211.25</v>
      </c>
      <c r="U531" t="s">
        <v>42</v>
      </c>
      <c r="V531" t="s">
        <v>29</v>
      </c>
      <c r="W531" t="s">
        <v>47</v>
      </c>
      <c r="X531">
        <v>4</v>
      </c>
      <c r="Y531">
        <v>12</v>
      </c>
      <c r="Z531" t="s">
        <v>48</v>
      </c>
    </row>
    <row r="532" spans="1:26">
      <c r="A532" t="s">
        <v>589</v>
      </c>
      <c r="B532">
        <v>13</v>
      </c>
      <c r="C532" t="str">
        <f t="shared" si="40"/>
        <v>0-17</v>
      </c>
      <c r="D532" t="s">
        <v>33</v>
      </c>
      <c r="E532" s="2">
        <v>45315</v>
      </c>
      <c r="F532" s="2" t="str">
        <f t="shared" ca="1" si="41"/>
        <v>No</v>
      </c>
      <c r="G532" s="2" t="str">
        <f t="shared" si="42"/>
        <v>Jan-2024</v>
      </c>
      <c r="H532" s="2">
        <v>45319</v>
      </c>
      <c r="I532">
        <v>4</v>
      </c>
      <c r="J532" t="s">
        <v>57</v>
      </c>
      <c r="K532">
        <v>4</v>
      </c>
      <c r="L532" t="s">
        <v>66</v>
      </c>
      <c r="M532" s="9">
        <v>31754</v>
      </c>
      <c r="N532" t="s">
        <v>36</v>
      </c>
      <c r="O532" t="s">
        <v>54</v>
      </c>
      <c r="P532" t="s">
        <v>27</v>
      </c>
      <c r="Q532" s="2">
        <v>45311</v>
      </c>
      <c r="R532" s="13">
        <f t="shared" si="43"/>
        <v>2460.0000000034925</v>
      </c>
      <c r="S532" s="13">
        <f t="shared" si="44"/>
        <v>-568.34042553178119</v>
      </c>
      <c r="T532" s="2">
        <v>45312.708333333336</v>
      </c>
      <c r="U532" t="s">
        <v>28</v>
      </c>
      <c r="V532" t="s">
        <v>29</v>
      </c>
      <c r="W532" t="s">
        <v>47</v>
      </c>
      <c r="X532">
        <v>10</v>
      </c>
      <c r="Y532">
        <v>8</v>
      </c>
      <c r="Z532" t="s">
        <v>48</v>
      </c>
    </row>
    <row r="533" spans="1:26">
      <c r="A533" t="s">
        <v>590</v>
      </c>
      <c r="B533">
        <v>59</v>
      </c>
      <c r="C533" t="str">
        <f t="shared" si="40"/>
        <v>51-65</v>
      </c>
      <c r="D533" t="s">
        <v>62</v>
      </c>
      <c r="E533" s="2">
        <v>45270</v>
      </c>
      <c r="F533" s="2" t="str">
        <f t="shared" ca="1" si="41"/>
        <v>No</v>
      </c>
      <c r="G533" s="2" t="str">
        <f t="shared" si="42"/>
        <v>Dec-2023</v>
      </c>
      <c r="H533" s="2">
        <v>45217</v>
      </c>
      <c r="I533">
        <v>6</v>
      </c>
      <c r="J533" t="s">
        <v>63</v>
      </c>
      <c r="K533">
        <v>3</v>
      </c>
      <c r="L533" t="s">
        <v>71</v>
      </c>
      <c r="M533" s="9">
        <v>29544</v>
      </c>
      <c r="N533" t="s">
        <v>36</v>
      </c>
      <c r="O533" t="s">
        <v>26</v>
      </c>
      <c r="P533" t="s">
        <v>41</v>
      </c>
      <c r="Q533" s="2">
        <v>45209</v>
      </c>
      <c r="R533" s="13">
        <f t="shared" si="43"/>
        <v>45779.999999996508</v>
      </c>
      <c r="S533" s="13">
        <f t="shared" si="44"/>
        <v>-574.79744136447891</v>
      </c>
      <c r="T533" s="2">
        <v>45240.791666666664</v>
      </c>
      <c r="U533" t="s">
        <v>37</v>
      </c>
      <c r="V533" t="s">
        <v>29</v>
      </c>
      <c r="W533" t="s">
        <v>30</v>
      </c>
      <c r="X533">
        <v>8</v>
      </c>
      <c r="Y533">
        <v>8</v>
      </c>
      <c r="Z533" t="s">
        <v>31</v>
      </c>
    </row>
    <row r="534" spans="1:26">
      <c r="A534" t="s">
        <v>591</v>
      </c>
      <c r="B534">
        <v>19</v>
      </c>
      <c r="C534" t="str">
        <f t="shared" si="40"/>
        <v>18-35</v>
      </c>
      <c r="D534" t="s">
        <v>62</v>
      </c>
      <c r="E534" s="2">
        <v>45476</v>
      </c>
      <c r="F534" s="2" t="str">
        <f t="shared" ca="1" si="41"/>
        <v>No</v>
      </c>
      <c r="G534" s="2" t="str">
        <f t="shared" si="42"/>
        <v>Jul-2024</v>
      </c>
      <c r="H534" s="2">
        <v>45368</v>
      </c>
      <c r="I534">
        <v>10</v>
      </c>
      <c r="J534" t="s">
        <v>34</v>
      </c>
      <c r="K534">
        <v>1</v>
      </c>
      <c r="L534" t="s">
        <v>24</v>
      </c>
      <c r="M534" s="9">
        <v>17638</v>
      </c>
      <c r="N534" t="s">
        <v>53</v>
      </c>
      <c r="O534" t="s">
        <v>54</v>
      </c>
      <c r="P534" t="s">
        <v>41</v>
      </c>
      <c r="Q534" s="2">
        <v>45476</v>
      </c>
      <c r="R534" s="13">
        <f t="shared" si="43"/>
        <v>45900</v>
      </c>
      <c r="S534" s="13">
        <f t="shared" si="44"/>
        <v>-673.84615384601955</v>
      </c>
      <c r="T534" s="2">
        <v>45507.875</v>
      </c>
      <c r="U534" t="s">
        <v>37</v>
      </c>
      <c r="V534" t="s">
        <v>29</v>
      </c>
      <c r="W534" t="s">
        <v>47</v>
      </c>
      <c r="X534">
        <v>6</v>
      </c>
      <c r="Y534">
        <v>8</v>
      </c>
      <c r="Z534" t="s">
        <v>31</v>
      </c>
    </row>
    <row r="535" spans="1:26">
      <c r="A535" t="s">
        <v>592</v>
      </c>
      <c r="B535">
        <v>49</v>
      </c>
      <c r="C535" t="str">
        <f t="shared" si="40"/>
        <v>36-50</v>
      </c>
      <c r="D535" t="s">
        <v>45</v>
      </c>
      <c r="E535" s="2">
        <v>45185</v>
      </c>
      <c r="F535" s="2" t="str">
        <f t="shared" ca="1" si="41"/>
        <v>No</v>
      </c>
      <c r="G535" s="2" t="str">
        <f t="shared" si="42"/>
        <v>Sep-2023</v>
      </c>
      <c r="H535" s="2">
        <v>45193</v>
      </c>
      <c r="I535">
        <v>8</v>
      </c>
      <c r="J535" t="s">
        <v>34</v>
      </c>
      <c r="K535">
        <v>1</v>
      </c>
      <c r="L535" t="s">
        <v>35</v>
      </c>
      <c r="M535" s="9">
        <v>5179</v>
      </c>
      <c r="N535" t="s">
        <v>67</v>
      </c>
      <c r="O535" t="s">
        <v>54</v>
      </c>
      <c r="P535" t="s">
        <v>27</v>
      </c>
      <c r="Q535" s="2">
        <v>45182</v>
      </c>
      <c r="R535" s="13">
        <f t="shared" si="43"/>
        <v>1380.0000000034925</v>
      </c>
      <c r="S535" s="13">
        <f t="shared" si="44"/>
        <v>-773.57601713048632</v>
      </c>
      <c r="T535" s="2">
        <v>45182.958333333336</v>
      </c>
      <c r="U535" t="s">
        <v>37</v>
      </c>
      <c r="V535" t="s">
        <v>29</v>
      </c>
      <c r="W535" t="s">
        <v>43</v>
      </c>
      <c r="X535">
        <v>8</v>
      </c>
      <c r="Y535">
        <v>12</v>
      </c>
      <c r="Z535" t="s">
        <v>68</v>
      </c>
    </row>
    <row r="536" spans="1:26">
      <c r="A536" t="s">
        <v>593</v>
      </c>
      <c r="B536">
        <v>12</v>
      </c>
      <c r="C536" t="str">
        <f t="shared" si="40"/>
        <v>0-17</v>
      </c>
      <c r="D536" t="s">
        <v>41</v>
      </c>
      <c r="E536" s="2">
        <v>45010</v>
      </c>
      <c r="F536" s="2" t="str">
        <f t="shared" ca="1" si="41"/>
        <v>No</v>
      </c>
      <c r="G536" s="2" t="str">
        <f t="shared" si="42"/>
        <v>Mar-2023</v>
      </c>
      <c r="H536" s="2">
        <v>44989</v>
      </c>
      <c r="I536">
        <v>9</v>
      </c>
      <c r="J536" t="s">
        <v>63</v>
      </c>
      <c r="K536">
        <v>5</v>
      </c>
      <c r="L536" t="s">
        <v>24</v>
      </c>
      <c r="M536" s="9">
        <v>8873</v>
      </c>
      <c r="N536" t="s">
        <v>60</v>
      </c>
      <c r="O536" t="s">
        <v>54</v>
      </c>
      <c r="P536" t="s">
        <v>27</v>
      </c>
      <c r="Q536" s="2">
        <v>45005</v>
      </c>
      <c r="R536" s="13">
        <f t="shared" si="43"/>
        <v>300.00000000349246</v>
      </c>
      <c r="S536" s="13">
        <f t="shared" si="44"/>
        <v>-778.19742489257646</v>
      </c>
      <c r="T536" s="2">
        <v>45005.208333333336</v>
      </c>
      <c r="U536" t="s">
        <v>37</v>
      </c>
      <c r="V536" t="s">
        <v>29</v>
      </c>
      <c r="W536" t="s">
        <v>47</v>
      </c>
      <c r="X536">
        <v>6</v>
      </c>
      <c r="Y536">
        <v>10</v>
      </c>
      <c r="Z536" t="s">
        <v>31</v>
      </c>
    </row>
    <row r="537" spans="1:26">
      <c r="A537" t="s">
        <v>594</v>
      </c>
      <c r="B537">
        <v>61</v>
      </c>
      <c r="C537" t="str">
        <f t="shared" si="40"/>
        <v>51-65</v>
      </c>
      <c r="D537" t="s">
        <v>41</v>
      </c>
      <c r="E537" s="2">
        <v>45408</v>
      </c>
      <c r="F537" s="2" t="str">
        <f t="shared" ca="1" si="41"/>
        <v>No</v>
      </c>
      <c r="G537" s="2" t="str">
        <f t="shared" si="42"/>
        <v>Apr-2024</v>
      </c>
      <c r="H537" s="2">
        <v>45411</v>
      </c>
      <c r="I537">
        <v>3</v>
      </c>
      <c r="J537" t="s">
        <v>57</v>
      </c>
      <c r="K537">
        <v>2</v>
      </c>
      <c r="L537" t="s">
        <v>66</v>
      </c>
      <c r="M537" s="9">
        <v>22570</v>
      </c>
      <c r="N537" t="s">
        <v>53</v>
      </c>
      <c r="O537" t="s">
        <v>54</v>
      </c>
      <c r="P537" t="s">
        <v>27</v>
      </c>
      <c r="Q537" s="2">
        <v>45408</v>
      </c>
      <c r="R537" s="13">
        <f t="shared" si="43"/>
        <v>2100.0000000034925</v>
      </c>
      <c r="S537" s="13">
        <f t="shared" si="44"/>
        <v>-780.51612903213788</v>
      </c>
      <c r="T537" s="2">
        <v>45409.458333333336</v>
      </c>
      <c r="U537" t="s">
        <v>28</v>
      </c>
      <c r="V537" t="s">
        <v>29</v>
      </c>
      <c r="W537" t="s">
        <v>43</v>
      </c>
      <c r="X537">
        <v>6</v>
      </c>
      <c r="Y537">
        <v>12</v>
      </c>
      <c r="Z537" t="s">
        <v>68</v>
      </c>
    </row>
    <row r="538" spans="1:26">
      <c r="A538" t="s">
        <v>595</v>
      </c>
      <c r="B538">
        <v>19</v>
      </c>
      <c r="C538" t="str">
        <f t="shared" si="40"/>
        <v>18-35</v>
      </c>
      <c r="D538" t="s">
        <v>33</v>
      </c>
      <c r="E538" s="2">
        <v>44946</v>
      </c>
      <c r="F538" s="2" t="str">
        <f t="shared" ca="1" si="41"/>
        <v>No</v>
      </c>
      <c r="G538" s="2" t="str">
        <f t="shared" si="42"/>
        <v>Jan-2023</v>
      </c>
      <c r="H538" s="2">
        <v>44947</v>
      </c>
      <c r="I538">
        <v>1</v>
      </c>
      <c r="J538" t="s">
        <v>50</v>
      </c>
      <c r="K538">
        <v>4</v>
      </c>
      <c r="L538" t="s">
        <v>46</v>
      </c>
      <c r="M538" s="9">
        <v>22157</v>
      </c>
      <c r="N538" t="s">
        <v>67</v>
      </c>
      <c r="O538" t="s">
        <v>54</v>
      </c>
      <c r="P538" t="s">
        <v>27</v>
      </c>
      <c r="Q538" s="2">
        <v>44945</v>
      </c>
      <c r="R538" s="13">
        <f t="shared" si="43"/>
        <v>1560.0000000034925</v>
      </c>
      <c r="S538" s="13">
        <f t="shared" si="44"/>
        <v>-786.72413793092153</v>
      </c>
      <c r="T538" s="2">
        <v>44946.083333333336</v>
      </c>
      <c r="U538" t="s">
        <v>28</v>
      </c>
      <c r="V538" t="s">
        <v>29</v>
      </c>
      <c r="W538" t="s">
        <v>47</v>
      </c>
      <c r="X538">
        <v>10</v>
      </c>
      <c r="Y538">
        <v>10</v>
      </c>
      <c r="Z538" t="s">
        <v>48</v>
      </c>
    </row>
    <row r="539" spans="1:26">
      <c r="A539" t="s">
        <v>596</v>
      </c>
      <c r="B539">
        <v>76</v>
      </c>
      <c r="C539" t="str">
        <f t="shared" si="40"/>
        <v>66+</v>
      </c>
      <c r="D539" t="s">
        <v>33</v>
      </c>
      <c r="E539" s="2">
        <v>44980</v>
      </c>
      <c r="F539" s="2" t="str">
        <f t="shared" ca="1" si="41"/>
        <v>No</v>
      </c>
      <c r="G539" s="2" t="str">
        <f t="shared" si="42"/>
        <v>Feb-2023</v>
      </c>
      <c r="H539" s="2">
        <v>44988</v>
      </c>
      <c r="I539">
        <v>8</v>
      </c>
      <c r="J539" t="s">
        <v>63</v>
      </c>
      <c r="K539">
        <v>3</v>
      </c>
      <c r="L539" t="s">
        <v>46</v>
      </c>
      <c r="M539" s="9">
        <v>9460</v>
      </c>
      <c r="N539" t="s">
        <v>67</v>
      </c>
      <c r="O539" t="s">
        <v>26</v>
      </c>
      <c r="P539" t="s">
        <v>27</v>
      </c>
      <c r="Q539" s="2">
        <v>44979</v>
      </c>
      <c r="R539" s="13">
        <f t="shared" si="43"/>
        <v>840.00000000349246</v>
      </c>
      <c r="S539" s="13">
        <f t="shared" si="44"/>
        <v>-791.79265658736745</v>
      </c>
      <c r="T539" s="2">
        <v>44979.583333333336</v>
      </c>
      <c r="U539" t="s">
        <v>55</v>
      </c>
      <c r="V539" t="s">
        <v>29</v>
      </c>
      <c r="W539" t="s">
        <v>47</v>
      </c>
      <c r="X539">
        <v>8</v>
      </c>
      <c r="Y539">
        <v>12</v>
      </c>
      <c r="Z539" t="s">
        <v>31</v>
      </c>
    </row>
    <row r="540" spans="1:26">
      <c r="A540" t="s">
        <v>597</v>
      </c>
      <c r="B540">
        <v>9</v>
      </c>
      <c r="C540" t="str">
        <f t="shared" si="40"/>
        <v>0-17</v>
      </c>
      <c r="D540" t="s">
        <v>41</v>
      </c>
      <c r="E540" s="2">
        <v>45285</v>
      </c>
      <c r="F540" s="2" t="str">
        <f t="shared" ca="1" si="41"/>
        <v>No</v>
      </c>
      <c r="G540" s="2" t="str">
        <f t="shared" si="42"/>
        <v>Dec-2023</v>
      </c>
      <c r="H540" s="2">
        <v>45287</v>
      </c>
      <c r="I540">
        <v>2</v>
      </c>
      <c r="J540" t="s">
        <v>63</v>
      </c>
      <c r="K540">
        <v>1</v>
      </c>
      <c r="L540" t="s">
        <v>71</v>
      </c>
      <c r="M540" s="9">
        <v>5352</v>
      </c>
      <c r="N540" t="s">
        <v>25</v>
      </c>
      <c r="O540" t="s">
        <v>54</v>
      </c>
      <c r="P540" t="s">
        <v>41</v>
      </c>
      <c r="Q540" s="2">
        <v>45282</v>
      </c>
      <c r="R540" s="13">
        <f t="shared" si="43"/>
        <v>1679.9999999965075</v>
      </c>
      <c r="S540" s="13">
        <f t="shared" si="44"/>
        <v>-795.32467532457702</v>
      </c>
      <c r="T540" s="2">
        <v>45283.166666666664</v>
      </c>
      <c r="U540" t="s">
        <v>42</v>
      </c>
      <c r="V540" t="s">
        <v>29</v>
      </c>
      <c r="W540" t="s">
        <v>30</v>
      </c>
      <c r="X540">
        <v>10</v>
      </c>
      <c r="Y540">
        <v>10</v>
      </c>
      <c r="Z540" t="s">
        <v>48</v>
      </c>
    </row>
    <row r="541" spans="1:26">
      <c r="A541" t="s">
        <v>598</v>
      </c>
      <c r="B541">
        <v>71</v>
      </c>
      <c r="C541" t="str">
        <f t="shared" si="40"/>
        <v>66+</v>
      </c>
      <c r="D541" t="s">
        <v>33</v>
      </c>
      <c r="E541" s="2">
        <v>45156</v>
      </c>
      <c r="F541" s="2" t="str">
        <f t="shared" ca="1" si="41"/>
        <v>No</v>
      </c>
      <c r="G541" s="2" t="str">
        <f t="shared" si="42"/>
        <v>Aug-2023</v>
      </c>
      <c r="H541" s="2">
        <v>45169</v>
      </c>
      <c r="I541">
        <v>13</v>
      </c>
      <c r="J541" t="s">
        <v>63</v>
      </c>
      <c r="K541">
        <v>3</v>
      </c>
      <c r="L541" t="s">
        <v>46</v>
      </c>
      <c r="M541" s="9">
        <v>26586</v>
      </c>
      <c r="N541" t="s">
        <v>25</v>
      </c>
      <c r="O541" t="s">
        <v>54</v>
      </c>
      <c r="P541" t="s">
        <v>27</v>
      </c>
      <c r="Q541" s="2">
        <v>45154</v>
      </c>
      <c r="R541" s="13">
        <f t="shared" si="43"/>
        <v>840.00000000349246</v>
      </c>
      <c r="S541" s="13">
        <f t="shared" si="44"/>
        <v>-800.69414316692212</v>
      </c>
      <c r="T541" s="2">
        <v>45154.583333333336</v>
      </c>
      <c r="U541" t="s">
        <v>28</v>
      </c>
      <c r="V541" t="s">
        <v>29</v>
      </c>
      <c r="W541" t="s">
        <v>30</v>
      </c>
      <c r="X541">
        <v>11</v>
      </c>
      <c r="Y541">
        <v>12</v>
      </c>
      <c r="Z541" t="s">
        <v>31</v>
      </c>
    </row>
    <row r="542" spans="1:26">
      <c r="A542" t="s">
        <v>599</v>
      </c>
      <c r="B542">
        <v>28</v>
      </c>
      <c r="C542" t="str">
        <f t="shared" si="40"/>
        <v>18-35</v>
      </c>
      <c r="D542" t="s">
        <v>41</v>
      </c>
      <c r="E542" s="2">
        <v>45263</v>
      </c>
      <c r="F542" s="2" t="str">
        <f t="shared" ca="1" si="41"/>
        <v>No</v>
      </c>
      <c r="G542" s="2" t="str">
        <f t="shared" si="42"/>
        <v>Dec-2023</v>
      </c>
      <c r="H542" s="2">
        <v>45012</v>
      </c>
      <c r="I542">
        <v>15</v>
      </c>
      <c r="J542" t="s">
        <v>34</v>
      </c>
      <c r="K542">
        <v>2</v>
      </c>
      <c r="L542" t="s">
        <v>35</v>
      </c>
      <c r="M542" s="9">
        <v>10344</v>
      </c>
      <c r="N542" t="s">
        <v>53</v>
      </c>
      <c r="O542" t="s">
        <v>26</v>
      </c>
      <c r="P542" t="s">
        <v>27</v>
      </c>
      <c r="Q542" s="2">
        <v>45233</v>
      </c>
      <c r="R542" s="13">
        <f t="shared" si="43"/>
        <v>43680.000000003492</v>
      </c>
      <c r="S542" s="13">
        <f t="shared" si="44"/>
        <v>-804.2608695651187</v>
      </c>
      <c r="T542" s="2">
        <v>45263.333333333336</v>
      </c>
      <c r="U542" t="s">
        <v>55</v>
      </c>
      <c r="V542" t="s">
        <v>38</v>
      </c>
      <c r="W542" t="s">
        <v>43</v>
      </c>
      <c r="X542">
        <v>6</v>
      </c>
      <c r="Y542">
        <v>12</v>
      </c>
      <c r="Z542" t="s">
        <v>68</v>
      </c>
    </row>
    <row r="543" spans="1:26">
      <c r="A543" t="s">
        <v>600</v>
      </c>
      <c r="B543">
        <v>78</v>
      </c>
      <c r="C543" t="str">
        <f t="shared" si="40"/>
        <v>66+</v>
      </c>
      <c r="D543" t="s">
        <v>22</v>
      </c>
      <c r="E543" s="2">
        <v>45232</v>
      </c>
      <c r="F543" s="2" t="str">
        <f t="shared" ca="1" si="41"/>
        <v>No</v>
      </c>
      <c r="G543" s="2" t="str">
        <f t="shared" si="42"/>
        <v>Nov-2023</v>
      </c>
      <c r="H543" s="2">
        <v>44982</v>
      </c>
      <c r="I543">
        <v>14</v>
      </c>
      <c r="J543" t="s">
        <v>40</v>
      </c>
      <c r="K543">
        <v>2</v>
      </c>
      <c r="L543" t="s">
        <v>46</v>
      </c>
      <c r="M543" s="9">
        <v>9507</v>
      </c>
      <c r="N543" t="s">
        <v>25</v>
      </c>
      <c r="O543" t="s">
        <v>26</v>
      </c>
      <c r="P543" t="s">
        <v>27</v>
      </c>
      <c r="Q543" s="2">
        <v>45232</v>
      </c>
      <c r="R543" s="13">
        <f t="shared" si="43"/>
        <v>1080</v>
      </c>
      <c r="S543" s="13">
        <f t="shared" si="44"/>
        <v>-901.17647058814396</v>
      </c>
      <c r="T543" s="2">
        <v>45232.75</v>
      </c>
      <c r="U543" t="s">
        <v>64</v>
      </c>
      <c r="V543" t="s">
        <v>29</v>
      </c>
      <c r="W543" t="s">
        <v>30</v>
      </c>
      <c r="X543">
        <v>9</v>
      </c>
      <c r="Y543">
        <v>10</v>
      </c>
      <c r="Z543" t="s">
        <v>48</v>
      </c>
    </row>
    <row r="544" spans="1:26">
      <c r="A544" t="s">
        <v>601</v>
      </c>
      <c r="B544">
        <v>52</v>
      </c>
      <c r="C544" t="str">
        <f t="shared" si="40"/>
        <v>51-65</v>
      </c>
      <c r="D544" t="s">
        <v>41</v>
      </c>
      <c r="E544" s="2">
        <v>44928</v>
      </c>
      <c r="F544" s="2" t="str">
        <f t="shared" ca="1" si="41"/>
        <v>No</v>
      </c>
      <c r="G544" s="2" t="str">
        <f t="shared" si="42"/>
        <v>Jan-2023</v>
      </c>
      <c r="H544" s="2">
        <v>45109</v>
      </c>
      <c r="I544">
        <v>6</v>
      </c>
      <c r="J544" t="s">
        <v>50</v>
      </c>
      <c r="K544">
        <v>3</v>
      </c>
      <c r="L544" t="s">
        <v>71</v>
      </c>
      <c r="M544" s="9">
        <v>42598</v>
      </c>
      <c r="N544" t="s">
        <v>67</v>
      </c>
      <c r="O544" t="s">
        <v>54</v>
      </c>
      <c r="P544" t="s">
        <v>27</v>
      </c>
      <c r="Q544" s="2">
        <v>44956</v>
      </c>
      <c r="R544" s="13">
        <f t="shared" si="43"/>
        <v>1260</v>
      </c>
      <c r="S544" s="13">
        <f t="shared" si="44"/>
        <v>-905.50218340602203</v>
      </c>
      <c r="T544" s="2">
        <v>44956.875</v>
      </c>
      <c r="U544" t="s">
        <v>42</v>
      </c>
      <c r="V544" t="s">
        <v>29</v>
      </c>
      <c r="W544" t="s">
        <v>30</v>
      </c>
      <c r="X544">
        <v>5</v>
      </c>
      <c r="Y544">
        <v>10</v>
      </c>
      <c r="Z544" t="s">
        <v>48</v>
      </c>
    </row>
    <row r="545" spans="1:26">
      <c r="A545" t="s">
        <v>602</v>
      </c>
      <c r="B545">
        <v>83</v>
      </c>
      <c r="C545" t="str">
        <f t="shared" si="40"/>
        <v>66+</v>
      </c>
      <c r="D545" t="s">
        <v>62</v>
      </c>
      <c r="E545" s="2">
        <v>45239</v>
      </c>
      <c r="F545" s="2" t="str">
        <f t="shared" ca="1" si="41"/>
        <v>No</v>
      </c>
      <c r="G545" s="2" t="str">
        <f t="shared" si="42"/>
        <v>Nov-2023</v>
      </c>
      <c r="H545" s="2">
        <v>45192</v>
      </c>
      <c r="I545">
        <v>12</v>
      </c>
      <c r="J545" t="s">
        <v>57</v>
      </c>
      <c r="K545">
        <v>4</v>
      </c>
      <c r="L545" t="s">
        <v>66</v>
      </c>
      <c r="M545" s="9">
        <v>48988</v>
      </c>
      <c r="N545" t="s">
        <v>25</v>
      </c>
      <c r="O545" t="s">
        <v>54</v>
      </c>
      <c r="P545" t="s">
        <v>41</v>
      </c>
      <c r="Q545" s="2">
        <v>45147</v>
      </c>
      <c r="R545" s="13">
        <f t="shared" si="43"/>
        <v>1139.9999999965075</v>
      </c>
      <c r="S545" s="13">
        <f t="shared" si="44"/>
        <v>-910.24070021872672</v>
      </c>
      <c r="T545" s="2">
        <v>45147.791666666664</v>
      </c>
      <c r="U545" t="s">
        <v>28</v>
      </c>
      <c r="V545" t="s">
        <v>29</v>
      </c>
      <c r="W545" t="s">
        <v>30</v>
      </c>
      <c r="X545">
        <v>11</v>
      </c>
      <c r="Y545">
        <v>10</v>
      </c>
      <c r="Z545" t="s">
        <v>31</v>
      </c>
    </row>
    <row r="546" spans="1:26">
      <c r="A546" t="s">
        <v>603</v>
      </c>
      <c r="B546">
        <v>16</v>
      </c>
      <c r="C546" t="str">
        <f t="shared" si="40"/>
        <v>0-17</v>
      </c>
      <c r="D546" t="s">
        <v>33</v>
      </c>
      <c r="E546" s="2">
        <v>45131</v>
      </c>
      <c r="F546" s="2" t="str">
        <f t="shared" ca="1" si="41"/>
        <v>No</v>
      </c>
      <c r="G546" s="2" t="str">
        <f t="shared" si="42"/>
        <v>Jul-2023</v>
      </c>
      <c r="H546" s="2">
        <v>45133</v>
      </c>
      <c r="I546">
        <v>2</v>
      </c>
      <c r="J546" t="s">
        <v>57</v>
      </c>
      <c r="K546">
        <v>2</v>
      </c>
      <c r="L546" t="s">
        <v>66</v>
      </c>
      <c r="M546" s="9">
        <v>37885</v>
      </c>
      <c r="N546" t="s">
        <v>36</v>
      </c>
      <c r="O546" t="s">
        <v>54</v>
      </c>
      <c r="P546" t="s">
        <v>27</v>
      </c>
      <c r="Q546" s="2">
        <v>45130</v>
      </c>
      <c r="R546" s="13">
        <f t="shared" si="43"/>
        <v>1319.9999999965075</v>
      </c>
      <c r="S546" s="13">
        <f t="shared" si="44"/>
        <v>-914.73684210516365</v>
      </c>
      <c r="T546" s="2">
        <v>45130.916666666664</v>
      </c>
      <c r="U546" t="s">
        <v>64</v>
      </c>
      <c r="V546" t="s">
        <v>29</v>
      </c>
      <c r="W546" t="s">
        <v>30</v>
      </c>
      <c r="X546">
        <v>6</v>
      </c>
      <c r="Y546">
        <v>10</v>
      </c>
      <c r="Z546" t="s">
        <v>48</v>
      </c>
    </row>
    <row r="547" spans="1:26">
      <c r="A547" t="s">
        <v>604</v>
      </c>
      <c r="B547">
        <v>69</v>
      </c>
      <c r="C547" t="str">
        <f t="shared" si="40"/>
        <v>66+</v>
      </c>
      <c r="D547" t="s">
        <v>41</v>
      </c>
      <c r="E547" s="2">
        <v>44947</v>
      </c>
      <c r="F547" s="2" t="str">
        <f t="shared" ca="1" si="41"/>
        <v>No</v>
      </c>
      <c r="G547" s="2" t="str">
        <f t="shared" si="42"/>
        <v>Jan-2023</v>
      </c>
      <c r="H547" s="2">
        <v>44956</v>
      </c>
      <c r="I547">
        <v>9</v>
      </c>
      <c r="J547" t="s">
        <v>40</v>
      </c>
      <c r="K547">
        <v>3</v>
      </c>
      <c r="L547" t="s">
        <v>46</v>
      </c>
      <c r="M547" s="9">
        <v>21865</v>
      </c>
      <c r="N547" t="s">
        <v>25</v>
      </c>
      <c r="O547" t="s">
        <v>26</v>
      </c>
      <c r="P547" t="s">
        <v>27</v>
      </c>
      <c r="Q547" s="2">
        <v>44944</v>
      </c>
      <c r="R547" s="13">
        <f t="shared" si="43"/>
        <v>2160</v>
      </c>
      <c r="S547" s="13">
        <f t="shared" si="44"/>
        <v>-919.64835164824422</v>
      </c>
      <c r="T547" s="2">
        <v>44945.5</v>
      </c>
      <c r="U547" t="s">
        <v>55</v>
      </c>
      <c r="V547" t="s">
        <v>29</v>
      </c>
      <c r="W547" t="s">
        <v>30</v>
      </c>
      <c r="X547">
        <v>9</v>
      </c>
      <c r="Y547">
        <v>10</v>
      </c>
      <c r="Z547" t="s">
        <v>68</v>
      </c>
    </row>
    <row r="548" spans="1:26">
      <c r="A548" t="s">
        <v>605</v>
      </c>
      <c r="B548">
        <v>12</v>
      </c>
      <c r="C548" t="str">
        <f t="shared" si="40"/>
        <v>0-17</v>
      </c>
      <c r="D548" t="s">
        <v>41</v>
      </c>
      <c r="E548" s="2">
        <v>45083</v>
      </c>
      <c r="F548" s="2" t="str">
        <f t="shared" ca="1" si="41"/>
        <v>No</v>
      </c>
      <c r="G548" s="2" t="str">
        <f t="shared" si="42"/>
        <v>Jun-2023</v>
      </c>
      <c r="H548" s="2">
        <v>45094</v>
      </c>
      <c r="I548">
        <v>11</v>
      </c>
      <c r="J548" t="s">
        <v>63</v>
      </c>
      <c r="K548">
        <v>1</v>
      </c>
      <c r="L548" t="s">
        <v>24</v>
      </c>
      <c r="M548" s="9">
        <v>42055</v>
      </c>
      <c r="N548" t="s">
        <v>67</v>
      </c>
      <c r="O548" t="s">
        <v>26</v>
      </c>
      <c r="P548" t="s">
        <v>27</v>
      </c>
      <c r="Q548" s="2">
        <v>45022</v>
      </c>
      <c r="R548" s="13">
        <f t="shared" si="43"/>
        <v>43979.999999996508</v>
      </c>
      <c r="S548" s="13">
        <f t="shared" si="44"/>
        <v>-926.43171806156636</v>
      </c>
      <c r="T548" s="2">
        <v>45052.541666666664</v>
      </c>
      <c r="U548" t="s">
        <v>28</v>
      </c>
      <c r="V548" t="s">
        <v>29</v>
      </c>
      <c r="W548" t="s">
        <v>43</v>
      </c>
      <c r="X548">
        <v>6</v>
      </c>
      <c r="Y548">
        <v>10</v>
      </c>
      <c r="Z548" t="s">
        <v>48</v>
      </c>
    </row>
    <row r="549" spans="1:26">
      <c r="A549" t="s">
        <v>606</v>
      </c>
      <c r="B549">
        <v>25</v>
      </c>
      <c r="C549" t="str">
        <f t="shared" si="40"/>
        <v>18-35</v>
      </c>
      <c r="D549" t="s">
        <v>33</v>
      </c>
      <c r="E549" s="2">
        <v>44966</v>
      </c>
      <c r="F549" s="2" t="str">
        <f t="shared" ca="1" si="41"/>
        <v>No</v>
      </c>
      <c r="G549" s="2" t="str">
        <f t="shared" si="42"/>
        <v>Feb-2023</v>
      </c>
      <c r="H549" s="2">
        <v>45055</v>
      </c>
      <c r="I549">
        <v>3</v>
      </c>
      <c r="J549" t="s">
        <v>50</v>
      </c>
      <c r="K549">
        <v>3</v>
      </c>
      <c r="L549" t="s">
        <v>66</v>
      </c>
      <c r="M549" s="9">
        <v>32213</v>
      </c>
      <c r="N549" t="s">
        <v>53</v>
      </c>
      <c r="O549" t="s">
        <v>26</v>
      </c>
      <c r="P549" t="s">
        <v>41</v>
      </c>
      <c r="Q549" s="2">
        <v>45169</v>
      </c>
      <c r="R549" s="13">
        <f t="shared" si="43"/>
        <v>540</v>
      </c>
      <c r="S549" s="13">
        <f t="shared" si="44"/>
        <v>-1025.5629139071691</v>
      </c>
      <c r="T549" s="2">
        <v>45169.375</v>
      </c>
      <c r="U549" t="s">
        <v>28</v>
      </c>
      <c r="V549" t="s">
        <v>29</v>
      </c>
      <c r="W549" t="s">
        <v>43</v>
      </c>
      <c r="X549">
        <v>9</v>
      </c>
      <c r="Y549">
        <v>10</v>
      </c>
      <c r="Z549" t="s">
        <v>48</v>
      </c>
    </row>
    <row r="550" spans="1:26">
      <c r="A550" t="s">
        <v>607</v>
      </c>
      <c r="B550">
        <v>52</v>
      </c>
      <c r="C550" t="str">
        <f t="shared" si="40"/>
        <v>51-65</v>
      </c>
      <c r="D550" t="s">
        <v>22</v>
      </c>
      <c r="E550" s="2">
        <v>45204</v>
      </c>
      <c r="F550" s="2" t="str">
        <f t="shared" ca="1" si="41"/>
        <v>No</v>
      </c>
      <c r="G550" s="2" t="str">
        <f t="shared" si="42"/>
        <v>Oct-2023</v>
      </c>
      <c r="H550" s="2">
        <v>45235</v>
      </c>
      <c r="I550">
        <v>1</v>
      </c>
      <c r="J550" t="s">
        <v>57</v>
      </c>
      <c r="K550">
        <v>3</v>
      </c>
      <c r="L550" t="s">
        <v>46</v>
      </c>
      <c r="M550" s="9">
        <v>9477</v>
      </c>
      <c r="N550" t="s">
        <v>60</v>
      </c>
      <c r="O550" t="s">
        <v>26</v>
      </c>
      <c r="P550" t="s">
        <v>41</v>
      </c>
      <c r="Q550" s="2">
        <v>45143</v>
      </c>
      <c r="R550" s="13">
        <f t="shared" si="43"/>
        <v>45419.999999996508</v>
      </c>
      <c r="S550" s="13">
        <f t="shared" si="44"/>
        <v>-1029.0265486724504</v>
      </c>
      <c r="T550" s="2">
        <v>45174.541666666664</v>
      </c>
      <c r="U550" t="s">
        <v>64</v>
      </c>
      <c r="V550" t="s">
        <v>38</v>
      </c>
      <c r="W550" t="s">
        <v>30</v>
      </c>
      <c r="X550">
        <v>8</v>
      </c>
      <c r="Y550">
        <v>10</v>
      </c>
      <c r="Z550" t="s">
        <v>31</v>
      </c>
    </row>
    <row r="551" spans="1:26">
      <c r="A551" t="s">
        <v>608</v>
      </c>
      <c r="B551">
        <v>85</v>
      </c>
      <c r="C551" t="str">
        <f t="shared" si="40"/>
        <v>66+</v>
      </c>
      <c r="D551" t="s">
        <v>22</v>
      </c>
      <c r="E551" s="2">
        <v>45411</v>
      </c>
      <c r="F551" s="2" t="str">
        <f t="shared" ca="1" si="41"/>
        <v>No</v>
      </c>
      <c r="G551" s="2" t="str">
        <f t="shared" si="42"/>
        <v>Apr-2024</v>
      </c>
      <c r="H551" s="2">
        <v>45356</v>
      </c>
      <c r="I551">
        <v>4</v>
      </c>
      <c r="J551" t="s">
        <v>23</v>
      </c>
      <c r="K551">
        <v>5</v>
      </c>
      <c r="L551" t="s">
        <v>71</v>
      </c>
      <c r="M551" s="9">
        <v>11533</v>
      </c>
      <c r="N551" t="s">
        <v>25</v>
      </c>
      <c r="O551" t="s">
        <v>54</v>
      </c>
      <c r="P551" t="s">
        <v>41</v>
      </c>
      <c r="Q551" s="2">
        <v>45407</v>
      </c>
      <c r="R551" s="13">
        <f t="shared" si="43"/>
        <v>1920.0000000034925</v>
      </c>
      <c r="S551" s="13">
        <f t="shared" si="44"/>
        <v>-1132.0177383590778</v>
      </c>
      <c r="T551" s="2">
        <v>45408.333333333336</v>
      </c>
      <c r="U551" t="s">
        <v>28</v>
      </c>
      <c r="V551" t="s">
        <v>29</v>
      </c>
      <c r="W551" t="s">
        <v>30</v>
      </c>
      <c r="X551">
        <v>4</v>
      </c>
      <c r="Y551">
        <v>12</v>
      </c>
      <c r="Z551" t="s">
        <v>48</v>
      </c>
    </row>
    <row r="552" spans="1:26">
      <c r="A552" t="s">
        <v>609</v>
      </c>
      <c r="B552">
        <v>53</v>
      </c>
      <c r="C552" t="str">
        <f t="shared" si="40"/>
        <v>51-65</v>
      </c>
      <c r="D552" t="s">
        <v>33</v>
      </c>
      <c r="E552" s="2">
        <v>45044</v>
      </c>
      <c r="F552" s="2" t="str">
        <f t="shared" ca="1" si="41"/>
        <v>No</v>
      </c>
      <c r="G552" s="2" t="str">
        <f t="shared" si="42"/>
        <v>Apr-2023</v>
      </c>
      <c r="H552" s="2">
        <v>45204</v>
      </c>
      <c r="I552">
        <v>12</v>
      </c>
      <c r="J552" t="s">
        <v>57</v>
      </c>
      <c r="K552">
        <v>2</v>
      </c>
      <c r="L552" t="s">
        <v>46</v>
      </c>
      <c r="M552" s="9">
        <v>28396</v>
      </c>
      <c r="N552" t="s">
        <v>67</v>
      </c>
      <c r="O552" t="s">
        <v>26</v>
      </c>
      <c r="P552" t="s">
        <v>41</v>
      </c>
      <c r="Q552" s="2">
        <v>45039</v>
      </c>
      <c r="R552" s="13">
        <f t="shared" si="43"/>
        <v>1319.9999999965075</v>
      </c>
      <c r="S552" s="13">
        <f t="shared" si="44"/>
        <v>-1138.7999999998835</v>
      </c>
      <c r="T552" s="2">
        <v>45039.916666666664</v>
      </c>
      <c r="U552" t="s">
        <v>37</v>
      </c>
      <c r="V552" t="s">
        <v>29</v>
      </c>
      <c r="W552" t="s">
        <v>43</v>
      </c>
      <c r="X552">
        <v>7</v>
      </c>
      <c r="Y552">
        <v>10</v>
      </c>
      <c r="Z552" t="s">
        <v>31</v>
      </c>
    </row>
    <row r="553" spans="1:26">
      <c r="A553" t="s">
        <v>610</v>
      </c>
      <c r="B553">
        <v>23</v>
      </c>
      <c r="C553" t="str">
        <f t="shared" si="40"/>
        <v>18-35</v>
      </c>
      <c r="D553" t="s">
        <v>52</v>
      </c>
      <c r="E553" s="2">
        <v>45268</v>
      </c>
      <c r="F553" s="2" t="str">
        <f t="shared" ca="1" si="41"/>
        <v>No</v>
      </c>
      <c r="G553" s="2" t="str">
        <f t="shared" si="42"/>
        <v>Dec-2023</v>
      </c>
      <c r="H553" s="2">
        <v>45158</v>
      </c>
      <c r="I553">
        <v>8</v>
      </c>
      <c r="J553" t="s">
        <v>63</v>
      </c>
      <c r="K553">
        <v>4</v>
      </c>
      <c r="L553" t="s">
        <v>66</v>
      </c>
      <c r="M553" s="9">
        <v>17755</v>
      </c>
      <c r="N553" t="s">
        <v>60</v>
      </c>
      <c r="O553" t="s">
        <v>54</v>
      </c>
      <c r="P553" t="s">
        <v>27</v>
      </c>
      <c r="Q553" s="2">
        <v>45146</v>
      </c>
      <c r="R553" s="13">
        <f t="shared" si="43"/>
        <v>45840.000000003492</v>
      </c>
      <c r="S553" s="13">
        <f t="shared" si="44"/>
        <v>-1144.276169264909</v>
      </c>
      <c r="T553" s="2">
        <v>45177.833333333336</v>
      </c>
      <c r="U553" t="s">
        <v>28</v>
      </c>
      <c r="V553" t="s">
        <v>29</v>
      </c>
      <c r="W553" t="s">
        <v>47</v>
      </c>
      <c r="X553">
        <v>11</v>
      </c>
      <c r="Y553">
        <v>10</v>
      </c>
      <c r="Z553" t="s">
        <v>31</v>
      </c>
    </row>
    <row r="554" spans="1:26">
      <c r="A554" t="s">
        <v>611</v>
      </c>
      <c r="B554">
        <v>16</v>
      </c>
      <c r="C554" t="str">
        <f t="shared" si="40"/>
        <v>0-17</v>
      </c>
      <c r="D554" t="s">
        <v>33</v>
      </c>
      <c r="E554" s="2">
        <v>45403</v>
      </c>
      <c r="F554" s="2" t="str">
        <f t="shared" ca="1" si="41"/>
        <v>No</v>
      </c>
      <c r="G554" s="2" t="str">
        <f t="shared" si="42"/>
        <v>Apr-2024</v>
      </c>
      <c r="H554" s="2">
        <v>45411</v>
      </c>
      <c r="I554">
        <v>8</v>
      </c>
      <c r="J554" t="s">
        <v>23</v>
      </c>
      <c r="K554">
        <v>4</v>
      </c>
      <c r="L554" t="s">
        <v>71</v>
      </c>
      <c r="M554" s="9">
        <v>5865</v>
      </c>
      <c r="N554" t="s">
        <v>60</v>
      </c>
      <c r="O554" t="s">
        <v>54</v>
      </c>
      <c r="P554" t="s">
        <v>27</v>
      </c>
      <c r="Q554" s="2">
        <v>45403</v>
      </c>
      <c r="R554" s="13">
        <f t="shared" si="43"/>
        <v>239.99999999650754</v>
      </c>
      <c r="S554" s="13">
        <f t="shared" si="44"/>
        <v>-1249.1517857141687</v>
      </c>
      <c r="T554" s="2">
        <v>45403.166666666664</v>
      </c>
      <c r="U554" t="s">
        <v>42</v>
      </c>
      <c r="V554" t="s">
        <v>29</v>
      </c>
      <c r="W554" t="s">
        <v>43</v>
      </c>
      <c r="X554">
        <v>6</v>
      </c>
      <c r="Y554">
        <v>12</v>
      </c>
      <c r="Z554" t="s">
        <v>48</v>
      </c>
    </row>
    <row r="555" spans="1:26">
      <c r="A555" t="s">
        <v>612</v>
      </c>
      <c r="B555">
        <v>57</v>
      </c>
      <c r="C555" t="str">
        <f t="shared" si="40"/>
        <v>51-65</v>
      </c>
      <c r="D555" t="s">
        <v>33</v>
      </c>
      <c r="E555" s="2">
        <v>45189</v>
      </c>
      <c r="F555" s="2" t="str">
        <f t="shared" ca="1" si="41"/>
        <v>No</v>
      </c>
      <c r="G555" s="2" t="str">
        <f t="shared" si="42"/>
        <v>Sep-2023</v>
      </c>
      <c r="H555" s="2">
        <v>45198</v>
      </c>
      <c r="I555">
        <v>9</v>
      </c>
      <c r="J555" t="s">
        <v>40</v>
      </c>
      <c r="K555">
        <v>5</v>
      </c>
      <c r="L555" t="s">
        <v>46</v>
      </c>
      <c r="M555" s="9">
        <v>16173</v>
      </c>
      <c r="N555" t="s">
        <v>36</v>
      </c>
      <c r="O555" t="s">
        <v>54</v>
      </c>
      <c r="P555" t="s">
        <v>27</v>
      </c>
      <c r="Q555" s="2">
        <v>45187</v>
      </c>
      <c r="R555" s="13">
        <f t="shared" si="43"/>
        <v>180</v>
      </c>
      <c r="S555" s="13">
        <f t="shared" si="44"/>
        <v>-1252.4832214763851</v>
      </c>
      <c r="T555" s="2">
        <v>45187.125</v>
      </c>
      <c r="U555" t="s">
        <v>64</v>
      </c>
      <c r="V555" t="s">
        <v>29</v>
      </c>
      <c r="W555" t="s">
        <v>47</v>
      </c>
      <c r="X555">
        <v>7</v>
      </c>
      <c r="Y555">
        <v>12</v>
      </c>
      <c r="Z555" t="s">
        <v>68</v>
      </c>
    </row>
    <row r="556" spans="1:26">
      <c r="A556" t="s">
        <v>613</v>
      </c>
      <c r="B556">
        <v>39</v>
      </c>
      <c r="C556" t="str">
        <f t="shared" si="40"/>
        <v>36-50</v>
      </c>
      <c r="D556" t="s">
        <v>22</v>
      </c>
      <c r="E556" s="2">
        <v>45304</v>
      </c>
      <c r="F556" s="2" t="str">
        <f t="shared" ca="1" si="41"/>
        <v>No</v>
      </c>
      <c r="G556" s="2" t="str">
        <f t="shared" si="42"/>
        <v>Jan-2024</v>
      </c>
      <c r="H556" s="2">
        <v>45313</v>
      </c>
      <c r="I556">
        <v>9</v>
      </c>
      <c r="J556" t="s">
        <v>50</v>
      </c>
      <c r="K556">
        <v>4</v>
      </c>
      <c r="L556" t="s">
        <v>35</v>
      </c>
      <c r="M556" s="9">
        <v>43097</v>
      </c>
      <c r="N556" t="s">
        <v>60</v>
      </c>
      <c r="O556" t="s">
        <v>26</v>
      </c>
      <c r="P556" t="s">
        <v>27</v>
      </c>
      <c r="Q556" s="2">
        <v>45505</v>
      </c>
      <c r="R556" s="13">
        <f t="shared" si="43"/>
        <v>419.99999999650754</v>
      </c>
      <c r="S556" s="13">
        <f t="shared" si="44"/>
        <v>-1255.6950672644487</v>
      </c>
      <c r="T556" s="2">
        <v>45505.291666666664</v>
      </c>
      <c r="U556" t="s">
        <v>42</v>
      </c>
      <c r="V556" t="s">
        <v>29</v>
      </c>
      <c r="W556" t="s">
        <v>30</v>
      </c>
      <c r="X556">
        <v>6</v>
      </c>
      <c r="Y556">
        <v>8</v>
      </c>
      <c r="Z556" t="s">
        <v>31</v>
      </c>
    </row>
    <row r="557" spans="1:26">
      <c r="A557" t="s">
        <v>614</v>
      </c>
      <c r="B557">
        <v>53</v>
      </c>
      <c r="C557" t="str">
        <f t="shared" si="40"/>
        <v>51-65</v>
      </c>
      <c r="D557" t="s">
        <v>22</v>
      </c>
      <c r="E557" s="2">
        <v>45098</v>
      </c>
      <c r="F557" s="2" t="str">
        <f t="shared" ca="1" si="41"/>
        <v>No</v>
      </c>
      <c r="G557" s="2" t="str">
        <f t="shared" si="42"/>
        <v>Jun-2023</v>
      </c>
      <c r="H557" s="2">
        <v>44933</v>
      </c>
      <c r="I557">
        <v>10</v>
      </c>
      <c r="J557" t="s">
        <v>40</v>
      </c>
      <c r="K557">
        <v>3</v>
      </c>
      <c r="L557" t="s">
        <v>71</v>
      </c>
      <c r="M557" s="9">
        <v>38371</v>
      </c>
      <c r="N557" t="s">
        <v>67</v>
      </c>
      <c r="O557" t="s">
        <v>26</v>
      </c>
      <c r="P557" t="s">
        <v>27</v>
      </c>
      <c r="Q557" s="2">
        <v>45096</v>
      </c>
      <c r="R557" s="13">
        <f t="shared" si="43"/>
        <v>2460.0000000034925</v>
      </c>
      <c r="S557" s="13">
        <f t="shared" si="44"/>
        <v>-1259.4606741571699</v>
      </c>
      <c r="T557" s="2">
        <v>45097.708333333336</v>
      </c>
      <c r="U557" t="s">
        <v>55</v>
      </c>
      <c r="V557" t="s">
        <v>29</v>
      </c>
      <c r="W557" t="s">
        <v>30</v>
      </c>
      <c r="X557">
        <v>8</v>
      </c>
      <c r="Y557">
        <v>8</v>
      </c>
      <c r="Z557" t="s">
        <v>48</v>
      </c>
    </row>
    <row r="558" spans="1:26">
      <c r="A558" t="s">
        <v>615</v>
      </c>
      <c r="B558">
        <v>42</v>
      </c>
      <c r="C558" t="str">
        <f t="shared" si="40"/>
        <v>36-50</v>
      </c>
      <c r="D558" t="s">
        <v>33</v>
      </c>
      <c r="E558" s="2">
        <v>45044</v>
      </c>
      <c r="F558" s="2" t="str">
        <f t="shared" ca="1" si="41"/>
        <v>No</v>
      </c>
      <c r="G558" s="2" t="str">
        <f t="shared" si="42"/>
        <v>Apr-2023</v>
      </c>
      <c r="H558" s="2">
        <v>44931</v>
      </c>
      <c r="I558">
        <v>3</v>
      </c>
      <c r="J558" t="s">
        <v>40</v>
      </c>
      <c r="K558">
        <v>5</v>
      </c>
      <c r="L558" t="s">
        <v>35</v>
      </c>
      <c r="M558" s="9">
        <v>43524</v>
      </c>
      <c r="N558" t="s">
        <v>67</v>
      </c>
      <c r="O558" t="s">
        <v>54</v>
      </c>
      <c r="P558" t="s">
        <v>41</v>
      </c>
      <c r="Q558" s="2">
        <v>45039</v>
      </c>
      <c r="R558" s="13">
        <f t="shared" si="43"/>
        <v>1800</v>
      </c>
      <c r="S558" s="13">
        <f t="shared" si="44"/>
        <v>-1267.837837837712</v>
      </c>
      <c r="T558" s="2">
        <v>45040.25</v>
      </c>
      <c r="U558" t="s">
        <v>42</v>
      </c>
      <c r="V558" t="s">
        <v>29</v>
      </c>
      <c r="W558" t="s">
        <v>43</v>
      </c>
      <c r="X558">
        <v>8</v>
      </c>
      <c r="Y558">
        <v>10</v>
      </c>
      <c r="Z558" t="s">
        <v>31</v>
      </c>
    </row>
    <row r="559" spans="1:26">
      <c r="A559" t="s">
        <v>616</v>
      </c>
      <c r="B559">
        <v>58</v>
      </c>
      <c r="C559" t="str">
        <f t="shared" si="40"/>
        <v>51-65</v>
      </c>
      <c r="D559" t="s">
        <v>33</v>
      </c>
      <c r="E559" s="2">
        <v>45094</v>
      </c>
      <c r="F559" s="2" t="str">
        <f t="shared" ca="1" si="41"/>
        <v>No</v>
      </c>
      <c r="G559" s="2" t="str">
        <f t="shared" si="42"/>
        <v>Jun-2023</v>
      </c>
      <c r="H559" s="2">
        <v>45100</v>
      </c>
      <c r="I559">
        <v>6</v>
      </c>
      <c r="J559" t="s">
        <v>50</v>
      </c>
      <c r="K559">
        <v>1</v>
      </c>
      <c r="L559" t="s">
        <v>24</v>
      </c>
      <c r="M559" s="9">
        <v>16254</v>
      </c>
      <c r="N559" t="s">
        <v>25</v>
      </c>
      <c r="O559" t="s">
        <v>26</v>
      </c>
      <c r="P559" t="s">
        <v>27</v>
      </c>
      <c r="Q559" s="2">
        <v>45093</v>
      </c>
      <c r="R559" s="13">
        <f t="shared" si="43"/>
        <v>120.00000000349246</v>
      </c>
      <c r="S559" s="13">
        <f t="shared" si="44"/>
        <v>-1274.7629796838469</v>
      </c>
      <c r="T559" s="2">
        <v>45093.083333333336</v>
      </c>
      <c r="U559" t="s">
        <v>37</v>
      </c>
      <c r="V559" t="s">
        <v>29</v>
      </c>
      <c r="W559" t="s">
        <v>30</v>
      </c>
      <c r="X559">
        <v>9</v>
      </c>
      <c r="Y559">
        <v>10</v>
      </c>
      <c r="Z559" t="s">
        <v>68</v>
      </c>
    </row>
    <row r="560" spans="1:26">
      <c r="A560" t="s">
        <v>617</v>
      </c>
      <c r="B560">
        <v>39</v>
      </c>
      <c r="C560" t="str">
        <f t="shared" si="40"/>
        <v>36-50</v>
      </c>
      <c r="D560" t="s">
        <v>33</v>
      </c>
      <c r="E560" s="2">
        <v>45245</v>
      </c>
      <c r="F560" s="2" t="str">
        <f t="shared" ca="1" si="41"/>
        <v>No</v>
      </c>
      <c r="G560" s="2" t="str">
        <f t="shared" si="42"/>
        <v>Nov-2023</v>
      </c>
      <c r="H560" s="2">
        <v>45251</v>
      </c>
      <c r="I560">
        <v>6</v>
      </c>
      <c r="J560" t="s">
        <v>50</v>
      </c>
      <c r="K560">
        <v>2</v>
      </c>
      <c r="L560" t="s">
        <v>71</v>
      </c>
      <c r="M560" s="9">
        <v>9018</v>
      </c>
      <c r="N560" t="s">
        <v>25</v>
      </c>
      <c r="O560" t="s">
        <v>26</v>
      </c>
      <c r="P560" t="s">
        <v>27</v>
      </c>
      <c r="Q560" s="2">
        <v>45245</v>
      </c>
      <c r="R560" s="13">
        <f t="shared" si="43"/>
        <v>480.00000000349246</v>
      </c>
      <c r="S560" s="13">
        <f t="shared" si="44"/>
        <v>-1277.9185520360807</v>
      </c>
      <c r="T560" s="2">
        <v>45245.333333333336</v>
      </c>
      <c r="U560" t="s">
        <v>37</v>
      </c>
      <c r="V560" t="s">
        <v>38</v>
      </c>
      <c r="W560" t="s">
        <v>47</v>
      </c>
      <c r="X560">
        <v>6</v>
      </c>
      <c r="Y560">
        <v>8</v>
      </c>
      <c r="Z560" t="s">
        <v>68</v>
      </c>
    </row>
    <row r="561" spans="1:26">
      <c r="A561" t="s">
        <v>618</v>
      </c>
      <c r="B561">
        <v>14</v>
      </c>
      <c r="C561" t="str">
        <f t="shared" si="40"/>
        <v>0-17</v>
      </c>
      <c r="D561" t="s">
        <v>22</v>
      </c>
      <c r="E561" s="2">
        <v>45037</v>
      </c>
      <c r="F561" s="2" t="str">
        <f t="shared" ca="1" si="41"/>
        <v>No</v>
      </c>
      <c r="G561" s="2" t="str">
        <f t="shared" si="42"/>
        <v>Apr-2023</v>
      </c>
      <c r="H561" s="2">
        <v>45082</v>
      </c>
      <c r="I561">
        <v>15</v>
      </c>
      <c r="J561" t="s">
        <v>57</v>
      </c>
      <c r="K561">
        <v>2</v>
      </c>
      <c r="L561" t="s">
        <v>35</v>
      </c>
      <c r="M561" s="9">
        <v>10192</v>
      </c>
      <c r="N561" t="s">
        <v>25</v>
      </c>
      <c r="O561" t="s">
        <v>54</v>
      </c>
      <c r="P561" t="s">
        <v>41</v>
      </c>
      <c r="Q561" s="2">
        <v>45032</v>
      </c>
      <c r="R561" s="13">
        <f t="shared" si="43"/>
        <v>660.00000000349246</v>
      </c>
      <c r="S561" s="13">
        <f t="shared" si="44"/>
        <v>-1281.904761904651</v>
      </c>
      <c r="T561" s="2">
        <v>45032.458333333336</v>
      </c>
      <c r="U561" t="s">
        <v>42</v>
      </c>
      <c r="V561" t="s">
        <v>29</v>
      </c>
      <c r="W561" t="s">
        <v>47</v>
      </c>
      <c r="X561">
        <v>8</v>
      </c>
      <c r="Y561">
        <v>8</v>
      </c>
      <c r="Z561" t="s">
        <v>31</v>
      </c>
    </row>
    <row r="562" spans="1:26">
      <c r="A562" t="s">
        <v>619</v>
      </c>
      <c r="B562">
        <v>5</v>
      </c>
      <c r="C562" t="str">
        <f t="shared" si="40"/>
        <v>0-17</v>
      </c>
      <c r="D562" t="s">
        <v>33</v>
      </c>
      <c r="E562" s="2">
        <v>44953</v>
      </c>
      <c r="F562" s="2" t="str">
        <f t="shared" ca="1" si="41"/>
        <v>No</v>
      </c>
      <c r="G562" s="2" t="str">
        <f t="shared" si="42"/>
        <v>Jan-2023</v>
      </c>
      <c r="H562" s="2">
        <v>44928</v>
      </c>
      <c r="I562">
        <v>5</v>
      </c>
      <c r="J562" t="s">
        <v>57</v>
      </c>
      <c r="K562">
        <v>2</v>
      </c>
      <c r="L562" t="s">
        <v>66</v>
      </c>
      <c r="M562" s="9">
        <v>7015</v>
      </c>
      <c r="N562" t="s">
        <v>60</v>
      </c>
      <c r="O562" t="s">
        <v>54</v>
      </c>
      <c r="P562" t="s">
        <v>41</v>
      </c>
      <c r="Q562" s="2">
        <v>44953</v>
      </c>
      <c r="R562" s="13">
        <f t="shared" si="43"/>
        <v>1740.0000000034925</v>
      </c>
      <c r="S562" s="13">
        <f t="shared" si="44"/>
        <v>-1286.3181818180785</v>
      </c>
      <c r="T562" s="2">
        <v>44954.208333333336</v>
      </c>
      <c r="U562" t="s">
        <v>55</v>
      </c>
      <c r="V562" t="s">
        <v>29</v>
      </c>
      <c r="W562" t="s">
        <v>43</v>
      </c>
      <c r="X562">
        <v>8</v>
      </c>
      <c r="Y562">
        <v>10</v>
      </c>
      <c r="Z562" t="s">
        <v>68</v>
      </c>
    </row>
    <row r="563" spans="1:26">
      <c r="A563" t="s">
        <v>620</v>
      </c>
      <c r="B563">
        <v>35</v>
      </c>
      <c r="C563" t="str">
        <f t="shared" si="40"/>
        <v>18-35</v>
      </c>
      <c r="D563" t="s">
        <v>33</v>
      </c>
      <c r="E563" s="2">
        <v>45246</v>
      </c>
      <c r="F563" s="2" t="str">
        <f t="shared" ca="1" si="41"/>
        <v>No</v>
      </c>
      <c r="G563" s="2" t="str">
        <f t="shared" si="42"/>
        <v>Nov-2023</v>
      </c>
      <c r="H563" s="2">
        <v>45253</v>
      </c>
      <c r="I563">
        <v>7</v>
      </c>
      <c r="J563" t="s">
        <v>50</v>
      </c>
      <c r="K563">
        <v>3</v>
      </c>
      <c r="L563" t="s">
        <v>66</v>
      </c>
      <c r="M563" s="9">
        <v>47618</v>
      </c>
      <c r="N563" t="s">
        <v>60</v>
      </c>
      <c r="O563" t="s">
        <v>26</v>
      </c>
      <c r="P563" t="s">
        <v>27</v>
      </c>
      <c r="Q563" s="2">
        <v>45243</v>
      </c>
      <c r="R563" s="13">
        <f t="shared" si="43"/>
        <v>1800</v>
      </c>
      <c r="S563" s="13">
        <f t="shared" si="44"/>
        <v>-1293.2118451024103</v>
      </c>
      <c r="T563" s="2">
        <v>45244.25</v>
      </c>
      <c r="U563" t="s">
        <v>28</v>
      </c>
      <c r="V563" t="s">
        <v>29</v>
      </c>
      <c r="W563" t="s">
        <v>47</v>
      </c>
      <c r="X563">
        <v>6</v>
      </c>
      <c r="Y563">
        <v>8</v>
      </c>
      <c r="Z563" t="s">
        <v>48</v>
      </c>
    </row>
    <row r="564" spans="1:26">
      <c r="A564" t="s">
        <v>621</v>
      </c>
      <c r="B564">
        <v>87</v>
      </c>
      <c r="C564" t="str">
        <f t="shared" si="40"/>
        <v>66+</v>
      </c>
      <c r="D564" t="s">
        <v>45</v>
      </c>
      <c r="E564" s="2">
        <v>45311</v>
      </c>
      <c r="F564" s="2" t="str">
        <f t="shared" ca="1" si="41"/>
        <v>No</v>
      </c>
      <c r="G564" s="2" t="str">
        <f t="shared" si="42"/>
        <v>Jan-2024</v>
      </c>
      <c r="H564" s="2">
        <v>45318</v>
      </c>
      <c r="I564">
        <v>7</v>
      </c>
      <c r="J564" t="s">
        <v>23</v>
      </c>
      <c r="K564">
        <v>1</v>
      </c>
      <c r="L564" t="s">
        <v>24</v>
      </c>
      <c r="M564" s="9">
        <v>8380</v>
      </c>
      <c r="N564" t="s">
        <v>36</v>
      </c>
      <c r="O564" t="s">
        <v>54</v>
      </c>
      <c r="P564" t="s">
        <v>27</v>
      </c>
      <c r="Q564" s="2">
        <v>45309</v>
      </c>
      <c r="R564" s="13">
        <f t="shared" si="43"/>
        <v>59.99999999650754</v>
      </c>
      <c r="S564" s="13">
        <f t="shared" si="44"/>
        <v>-1300.2739726026441</v>
      </c>
      <c r="T564" s="2">
        <v>45309.041666666664</v>
      </c>
      <c r="U564" t="s">
        <v>37</v>
      </c>
      <c r="V564" t="s">
        <v>29</v>
      </c>
      <c r="W564" t="s">
        <v>43</v>
      </c>
      <c r="X564">
        <v>9</v>
      </c>
      <c r="Y564">
        <v>10</v>
      </c>
      <c r="Z564" t="s">
        <v>48</v>
      </c>
    </row>
    <row r="565" spans="1:26">
      <c r="A565" t="s">
        <v>622</v>
      </c>
      <c r="B565">
        <v>75</v>
      </c>
      <c r="C565" t="str">
        <f t="shared" si="40"/>
        <v>66+</v>
      </c>
      <c r="D565" t="s">
        <v>52</v>
      </c>
      <c r="E565" s="2">
        <v>45598</v>
      </c>
      <c r="F565" s="2" t="str">
        <f t="shared" ca="1" si="41"/>
        <v>No</v>
      </c>
      <c r="G565" s="2" t="str">
        <f t="shared" si="42"/>
        <v>Nov-2024</v>
      </c>
      <c r="H565" s="2">
        <v>45346</v>
      </c>
      <c r="I565">
        <v>13</v>
      </c>
      <c r="J565" t="s">
        <v>34</v>
      </c>
      <c r="K565">
        <v>5</v>
      </c>
      <c r="L565" t="s">
        <v>71</v>
      </c>
      <c r="M565" s="9">
        <v>33343</v>
      </c>
      <c r="N565" t="s">
        <v>25</v>
      </c>
      <c r="O565" t="s">
        <v>54</v>
      </c>
      <c r="P565" t="s">
        <v>27</v>
      </c>
      <c r="Q565" s="2">
        <v>45567</v>
      </c>
      <c r="R565" s="13">
        <f t="shared" si="43"/>
        <v>44879.999999996508</v>
      </c>
      <c r="S565" s="13">
        <f t="shared" si="44"/>
        <v>-1303.3867276886833</v>
      </c>
      <c r="T565" s="2">
        <v>45598.166666666664</v>
      </c>
      <c r="U565" t="s">
        <v>42</v>
      </c>
      <c r="V565" t="s">
        <v>29</v>
      </c>
      <c r="W565" t="s">
        <v>43</v>
      </c>
      <c r="X565">
        <v>9</v>
      </c>
      <c r="Y565">
        <v>12</v>
      </c>
      <c r="Z565" t="s">
        <v>31</v>
      </c>
    </row>
    <row r="566" spans="1:26">
      <c r="A566" t="s">
        <v>623</v>
      </c>
      <c r="B566">
        <v>18</v>
      </c>
      <c r="C566" t="str">
        <f t="shared" si="40"/>
        <v>18-35</v>
      </c>
      <c r="D566" t="s">
        <v>62</v>
      </c>
      <c r="E566" s="2">
        <v>45130</v>
      </c>
      <c r="F566" s="2" t="str">
        <f t="shared" ca="1" si="41"/>
        <v>No</v>
      </c>
      <c r="G566" s="2" t="str">
        <f t="shared" si="42"/>
        <v>Jul-2023</v>
      </c>
      <c r="H566" s="2">
        <v>45136</v>
      </c>
      <c r="I566">
        <v>6</v>
      </c>
      <c r="J566" t="s">
        <v>57</v>
      </c>
      <c r="K566">
        <v>5</v>
      </c>
      <c r="L566" t="s">
        <v>71</v>
      </c>
      <c r="M566" s="9">
        <v>8770</v>
      </c>
      <c r="N566" t="s">
        <v>53</v>
      </c>
      <c r="O566" t="s">
        <v>26</v>
      </c>
      <c r="P566" t="s">
        <v>41</v>
      </c>
      <c r="Q566" s="2">
        <v>45127</v>
      </c>
      <c r="R566" s="13">
        <f t="shared" si="43"/>
        <v>779.99999999650754</v>
      </c>
      <c r="S566" s="13">
        <f t="shared" si="44"/>
        <v>-1409.3119266053925</v>
      </c>
      <c r="T566" s="2">
        <v>45127.541666666664</v>
      </c>
      <c r="U566" t="s">
        <v>42</v>
      </c>
      <c r="V566" t="s">
        <v>29</v>
      </c>
      <c r="W566" t="s">
        <v>47</v>
      </c>
      <c r="X566">
        <v>9</v>
      </c>
      <c r="Y566">
        <v>12</v>
      </c>
      <c r="Z566" t="s">
        <v>68</v>
      </c>
    </row>
    <row r="567" spans="1:26">
      <c r="A567" t="s">
        <v>624</v>
      </c>
      <c r="B567">
        <v>76</v>
      </c>
      <c r="C567" t="str">
        <f t="shared" si="40"/>
        <v>66+</v>
      </c>
      <c r="D567" t="s">
        <v>52</v>
      </c>
      <c r="E567" s="2">
        <v>45004</v>
      </c>
      <c r="F567" s="2" t="str">
        <f t="shared" ca="1" si="41"/>
        <v>No</v>
      </c>
      <c r="G567" s="2" t="str">
        <f t="shared" si="42"/>
        <v>Mar-2023</v>
      </c>
      <c r="H567" s="2">
        <v>45015</v>
      </c>
      <c r="I567">
        <v>11</v>
      </c>
      <c r="J567" t="s">
        <v>34</v>
      </c>
      <c r="K567">
        <v>2</v>
      </c>
      <c r="L567" t="s">
        <v>71</v>
      </c>
      <c r="M567" s="9">
        <v>10829</v>
      </c>
      <c r="N567" t="s">
        <v>36</v>
      </c>
      <c r="O567" t="s">
        <v>26</v>
      </c>
      <c r="P567" t="s">
        <v>27</v>
      </c>
      <c r="Q567" s="2">
        <v>44999</v>
      </c>
      <c r="R567" s="13">
        <f t="shared" si="43"/>
        <v>2700</v>
      </c>
      <c r="S567" s="13">
        <f t="shared" si="44"/>
        <v>-1414.3448275860865</v>
      </c>
      <c r="T567" s="2">
        <v>45000.875</v>
      </c>
      <c r="U567" t="s">
        <v>42</v>
      </c>
      <c r="V567" t="s">
        <v>29</v>
      </c>
      <c r="W567" t="s">
        <v>47</v>
      </c>
      <c r="X567">
        <v>9</v>
      </c>
      <c r="Y567">
        <v>8</v>
      </c>
      <c r="Z567" t="s">
        <v>48</v>
      </c>
    </row>
    <row r="568" spans="1:26">
      <c r="A568" t="s">
        <v>625</v>
      </c>
      <c r="B568">
        <v>9</v>
      </c>
      <c r="C568" t="str">
        <f t="shared" si="40"/>
        <v>0-17</v>
      </c>
      <c r="D568" t="s">
        <v>45</v>
      </c>
      <c r="E568" s="2">
        <v>45086</v>
      </c>
      <c r="F568" s="2" t="str">
        <f t="shared" ca="1" si="41"/>
        <v>No</v>
      </c>
      <c r="G568" s="2" t="str">
        <f t="shared" si="42"/>
        <v>Jun-2023</v>
      </c>
      <c r="H568" s="2">
        <v>45185</v>
      </c>
      <c r="I568">
        <v>10</v>
      </c>
      <c r="J568" t="s">
        <v>23</v>
      </c>
      <c r="K568">
        <v>1</v>
      </c>
      <c r="L568" t="s">
        <v>24</v>
      </c>
      <c r="M568" s="9">
        <v>39381</v>
      </c>
      <c r="N568" t="s">
        <v>53</v>
      </c>
      <c r="O568" t="s">
        <v>26</v>
      </c>
      <c r="P568" t="s">
        <v>27</v>
      </c>
      <c r="Q568" s="2">
        <v>44966</v>
      </c>
      <c r="R568" s="13">
        <f t="shared" si="43"/>
        <v>540</v>
      </c>
      <c r="S568" s="13">
        <f t="shared" si="44"/>
        <v>-1423.8248847925061</v>
      </c>
      <c r="T568" s="2">
        <v>44966.375</v>
      </c>
      <c r="U568" t="s">
        <v>28</v>
      </c>
      <c r="V568" t="s">
        <v>29</v>
      </c>
      <c r="W568" t="s">
        <v>47</v>
      </c>
      <c r="X568">
        <v>4</v>
      </c>
      <c r="Y568">
        <v>12</v>
      </c>
      <c r="Z568" t="s">
        <v>48</v>
      </c>
    </row>
    <row r="569" spans="1:26">
      <c r="A569" t="s">
        <v>626</v>
      </c>
      <c r="B569">
        <v>74</v>
      </c>
      <c r="C569" t="str">
        <f t="shared" si="40"/>
        <v>66+</v>
      </c>
      <c r="D569" t="s">
        <v>62</v>
      </c>
      <c r="E569" s="2">
        <v>45031</v>
      </c>
      <c r="F569" s="2" t="str">
        <f t="shared" ca="1" si="41"/>
        <v>No</v>
      </c>
      <c r="G569" s="2" t="str">
        <f t="shared" si="42"/>
        <v>Apr-2023</v>
      </c>
      <c r="H569" s="2">
        <v>45032</v>
      </c>
      <c r="I569">
        <v>1</v>
      </c>
      <c r="J569" t="s">
        <v>50</v>
      </c>
      <c r="K569">
        <v>1</v>
      </c>
      <c r="L569" t="s">
        <v>71</v>
      </c>
      <c r="M569" s="9">
        <v>20545</v>
      </c>
      <c r="N569" t="s">
        <v>60</v>
      </c>
      <c r="O569" t="s">
        <v>26</v>
      </c>
      <c r="P569" t="s">
        <v>41</v>
      </c>
      <c r="Q569" s="2">
        <v>45203</v>
      </c>
      <c r="R569" s="13">
        <f t="shared" si="43"/>
        <v>45720</v>
      </c>
      <c r="S569" s="13">
        <f t="shared" si="44"/>
        <v>-1428.3602771361377</v>
      </c>
      <c r="T569" s="2">
        <v>45234.75</v>
      </c>
      <c r="U569" t="s">
        <v>64</v>
      </c>
      <c r="V569" t="s">
        <v>29</v>
      </c>
      <c r="W569" t="s">
        <v>47</v>
      </c>
      <c r="X569">
        <v>6</v>
      </c>
      <c r="Y569">
        <v>12</v>
      </c>
      <c r="Z569" t="s">
        <v>48</v>
      </c>
    </row>
    <row r="570" spans="1:26">
      <c r="A570" t="s">
        <v>627</v>
      </c>
      <c r="B570">
        <v>58</v>
      </c>
      <c r="C570" t="str">
        <f t="shared" si="40"/>
        <v>51-65</v>
      </c>
      <c r="D570" t="s">
        <v>33</v>
      </c>
      <c r="E570" s="2">
        <v>45057</v>
      </c>
      <c r="F570" s="2" t="str">
        <f t="shared" ca="1" si="41"/>
        <v>No</v>
      </c>
      <c r="G570" s="2" t="str">
        <f t="shared" si="42"/>
        <v>May-2023</v>
      </c>
      <c r="H570" s="2">
        <v>45248</v>
      </c>
      <c r="I570">
        <v>13</v>
      </c>
      <c r="J570" t="s">
        <v>23</v>
      </c>
      <c r="K570">
        <v>1</v>
      </c>
      <c r="L570" t="s">
        <v>66</v>
      </c>
      <c r="M570" s="9">
        <v>23263</v>
      </c>
      <c r="N570" t="s">
        <v>36</v>
      </c>
      <c r="O570" t="s">
        <v>54</v>
      </c>
      <c r="P570" t="s">
        <v>27</v>
      </c>
      <c r="Q570" s="2">
        <v>44996</v>
      </c>
      <c r="R570" s="13">
        <f t="shared" si="43"/>
        <v>1200.0000000034925</v>
      </c>
      <c r="S570" s="13">
        <f t="shared" si="44"/>
        <v>-1537.4999999998788</v>
      </c>
      <c r="T570" s="2">
        <v>44996.833333333336</v>
      </c>
      <c r="U570" t="s">
        <v>55</v>
      </c>
      <c r="V570" t="s">
        <v>29</v>
      </c>
      <c r="W570" t="s">
        <v>47</v>
      </c>
      <c r="X570">
        <v>10</v>
      </c>
      <c r="Y570">
        <v>12</v>
      </c>
      <c r="Z570" t="s">
        <v>31</v>
      </c>
    </row>
    <row r="571" spans="1:26">
      <c r="A571" t="s">
        <v>628</v>
      </c>
      <c r="B571">
        <v>17</v>
      </c>
      <c r="C571" t="str">
        <f t="shared" si="40"/>
        <v>0-17</v>
      </c>
      <c r="D571" t="s">
        <v>45</v>
      </c>
      <c r="E571" s="2">
        <v>45021</v>
      </c>
      <c r="F571" s="2" t="str">
        <f t="shared" ca="1" si="41"/>
        <v>No</v>
      </c>
      <c r="G571" s="2" t="str">
        <f t="shared" si="42"/>
        <v>Apr-2023</v>
      </c>
      <c r="H571" s="2">
        <v>45061</v>
      </c>
      <c r="I571">
        <v>11</v>
      </c>
      <c r="J571" t="s">
        <v>57</v>
      </c>
      <c r="K571">
        <v>4</v>
      </c>
      <c r="L571" t="s">
        <v>35</v>
      </c>
      <c r="M571" s="9">
        <v>43140</v>
      </c>
      <c r="N571" t="s">
        <v>36</v>
      </c>
      <c r="O571" t="s">
        <v>54</v>
      </c>
      <c r="P571" t="s">
        <v>41</v>
      </c>
      <c r="Q571" s="2">
        <v>45045</v>
      </c>
      <c r="R571" s="13">
        <f t="shared" si="43"/>
        <v>660.00000000349246</v>
      </c>
      <c r="S571" s="13">
        <f t="shared" si="44"/>
        <v>-1543.8515081205362</v>
      </c>
      <c r="T571" s="2">
        <v>45045.458333333336</v>
      </c>
      <c r="U571" t="s">
        <v>64</v>
      </c>
      <c r="V571" t="s">
        <v>38</v>
      </c>
      <c r="W571" t="s">
        <v>47</v>
      </c>
      <c r="X571">
        <v>4</v>
      </c>
      <c r="Y571">
        <v>12</v>
      </c>
      <c r="Z571" t="s">
        <v>31</v>
      </c>
    </row>
    <row r="572" spans="1:26">
      <c r="A572" t="s">
        <v>629</v>
      </c>
      <c r="B572">
        <v>7</v>
      </c>
      <c r="C572" t="str">
        <f t="shared" si="40"/>
        <v>0-17</v>
      </c>
      <c r="D572" t="s">
        <v>33</v>
      </c>
      <c r="E572" s="2">
        <v>45262</v>
      </c>
      <c r="F572" s="2" t="str">
        <f t="shared" ca="1" si="41"/>
        <v>No</v>
      </c>
      <c r="G572" s="2" t="str">
        <f t="shared" si="42"/>
        <v>Dec-2023</v>
      </c>
      <c r="H572" s="2">
        <v>44980</v>
      </c>
      <c r="I572">
        <v>11</v>
      </c>
      <c r="J572" t="s">
        <v>40</v>
      </c>
      <c r="K572">
        <v>4</v>
      </c>
      <c r="L572" t="s">
        <v>66</v>
      </c>
      <c r="M572" s="9">
        <v>48306</v>
      </c>
      <c r="N572" t="s">
        <v>67</v>
      </c>
      <c r="O572" t="s">
        <v>54</v>
      </c>
      <c r="P572" t="s">
        <v>27</v>
      </c>
      <c r="Q572" s="2">
        <v>45262</v>
      </c>
      <c r="R572" s="13">
        <f t="shared" si="43"/>
        <v>1080</v>
      </c>
      <c r="S572" s="13">
        <f t="shared" si="44"/>
        <v>-1548.976744185941</v>
      </c>
      <c r="T572" s="2">
        <v>45262.75</v>
      </c>
      <c r="U572" t="s">
        <v>55</v>
      </c>
      <c r="V572" t="s">
        <v>29</v>
      </c>
      <c r="W572" t="s">
        <v>47</v>
      </c>
      <c r="X572">
        <v>8</v>
      </c>
      <c r="Y572">
        <v>10</v>
      </c>
      <c r="Z572" t="s">
        <v>48</v>
      </c>
    </row>
    <row r="573" spans="1:26">
      <c r="A573" t="s">
        <v>630</v>
      </c>
      <c r="B573">
        <v>46</v>
      </c>
      <c r="C573" t="str">
        <f t="shared" si="40"/>
        <v>36-50</v>
      </c>
      <c r="D573" t="s">
        <v>22</v>
      </c>
      <c r="E573" s="2">
        <v>45282</v>
      </c>
      <c r="F573" s="2" t="str">
        <f t="shared" ca="1" si="41"/>
        <v>No</v>
      </c>
      <c r="G573" s="2" t="str">
        <f t="shared" si="42"/>
        <v>Dec-2023</v>
      </c>
      <c r="H573" s="2">
        <v>45288</v>
      </c>
      <c r="I573">
        <v>6</v>
      </c>
      <c r="J573" t="s">
        <v>50</v>
      </c>
      <c r="K573">
        <v>2</v>
      </c>
      <c r="L573" t="s">
        <v>66</v>
      </c>
      <c r="M573" s="9">
        <v>30675</v>
      </c>
      <c r="N573" t="s">
        <v>60</v>
      </c>
      <c r="O573" t="s">
        <v>54</v>
      </c>
      <c r="P573" t="s">
        <v>41</v>
      </c>
      <c r="Q573" s="2">
        <v>45277</v>
      </c>
      <c r="R573" s="13">
        <f t="shared" si="43"/>
        <v>360</v>
      </c>
      <c r="S573" s="13">
        <f t="shared" si="44"/>
        <v>-1555.1048951047892</v>
      </c>
      <c r="T573" s="2">
        <v>45277.25</v>
      </c>
      <c r="U573" t="s">
        <v>55</v>
      </c>
      <c r="V573" t="s">
        <v>29</v>
      </c>
      <c r="W573" t="s">
        <v>30</v>
      </c>
      <c r="X573">
        <v>4</v>
      </c>
      <c r="Y573">
        <v>10</v>
      </c>
      <c r="Z573" t="s">
        <v>48</v>
      </c>
    </row>
    <row r="574" spans="1:26">
      <c r="A574" t="s">
        <v>631</v>
      </c>
      <c r="B574">
        <v>13</v>
      </c>
      <c r="C574" t="str">
        <f t="shared" si="40"/>
        <v>0-17</v>
      </c>
      <c r="D574" t="s">
        <v>41</v>
      </c>
      <c r="E574" s="2">
        <v>45365</v>
      </c>
      <c r="F574" s="2" t="str">
        <f t="shared" ca="1" si="41"/>
        <v>No</v>
      </c>
      <c r="G574" s="2" t="str">
        <f t="shared" si="42"/>
        <v>Mar-2024</v>
      </c>
      <c r="H574" s="2">
        <v>45367</v>
      </c>
      <c r="I574">
        <v>2</v>
      </c>
      <c r="J574" t="s">
        <v>63</v>
      </c>
      <c r="K574">
        <v>1</v>
      </c>
      <c r="L574" t="s">
        <v>35</v>
      </c>
      <c r="M574" s="9">
        <v>30362</v>
      </c>
      <c r="N574" t="s">
        <v>60</v>
      </c>
      <c r="O574" t="s">
        <v>26</v>
      </c>
      <c r="P574" t="s">
        <v>41</v>
      </c>
      <c r="Q574" s="2">
        <v>45629</v>
      </c>
      <c r="R574" s="13">
        <f t="shared" si="43"/>
        <v>-380520</v>
      </c>
      <c r="S574" s="13">
        <f t="shared" si="44"/>
        <v>-1559.5794392522303</v>
      </c>
      <c r="T574" s="2">
        <v>45364.75</v>
      </c>
      <c r="U574" t="s">
        <v>42</v>
      </c>
      <c r="V574" t="s">
        <v>29</v>
      </c>
      <c r="W574" t="s">
        <v>43</v>
      </c>
      <c r="X574">
        <v>11</v>
      </c>
      <c r="Y574">
        <v>8</v>
      </c>
      <c r="Z574" t="s">
        <v>68</v>
      </c>
    </row>
    <row r="575" spans="1:26">
      <c r="A575" t="s">
        <v>632</v>
      </c>
      <c r="B575">
        <v>40</v>
      </c>
      <c r="C575" t="str">
        <f t="shared" si="40"/>
        <v>36-50</v>
      </c>
      <c r="D575" t="s">
        <v>45</v>
      </c>
      <c r="E575" s="2">
        <v>45306</v>
      </c>
      <c r="F575" s="2" t="str">
        <f t="shared" ca="1" si="41"/>
        <v>No</v>
      </c>
      <c r="G575" s="2" t="str">
        <f t="shared" si="42"/>
        <v>Jan-2024</v>
      </c>
      <c r="H575" s="2">
        <v>45312</v>
      </c>
      <c r="I575">
        <v>6</v>
      </c>
      <c r="J575" t="s">
        <v>34</v>
      </c>
      <c r="K575">
        <v>1</v>
      </c>
      <c r="L575" t="s">
        <v>66</v>
      </c>
      <c r="M575" s="9">
        <v>5148</v>
      </c>
      <c r="N575" t="s">
        <v>36</v>
      </c>
      <c r="O575" t="s">
        <v>54</v>
      </c>
      <c r="P575" t="s">
        <v>41</v>
      </c>
      <c r="Q575" s="2">
        <v>45304</v>
      </c>
      <c r="R575" s="13">
        <f t="shared" si="43"/>
        <v>1440</v>
      </c>
      <c r="S575" s="13">
        <f t="shared" si="44"/>
        <v>-672.08430913338316</v>
      </c>
      <c r="T575" s="2">
        <v>45305</v>
      </c>
      <c r="U575" t="s">
        <v>37</v>
      </c>
      <c r="V575" t="s">
        <v>29</v>
      </c>
      <c r="W575" t="s">
        <v>43</v>
      </c>
      <c r="X575">
        <v>10</v>
      </c>
      <c r="Y575">
        <v>12</v>
      </c>
      <c r="Z575" t="s">
        <v>68</v>
      </c>
    </row>
    <row r="576" spans="1:26">
      <c r="A576" t="s">
        <v>633</v>
      </c>
      <c r="B576">
        <v>42</v>
      </c>
      <c r="C576" t="str">
        <f t="shared" si="40"/>
        <v>36-50</v>
      </c>
      <c r="D576" t="s">
        <v>22</v>
      </c>
      <c r="E576" s="2">
        <v>45263</v>
      </c>
      <c r="F576" s="2" t="str">
        <f t="shared" ca="1" si="41"/>
        <v>No</v>
      </c>
      <c r="G576" s="2" t="str">
        <f t="shared" si="42"/>
        <v>Dec-2023</v>
      </c>
      <c r="H576" s="2">
        <v>44999</v>
      </c>
      <c r="I576">
        <v>2</v>
      </c>
      <c r="J576" t="s">
        <v>23</v>
      </c>
      <c r="K576">
        <v>5</v>
      </c>
      <c r="L576" t="s">
        <v>24</v>
      </c>
      <c r="M576" s="9">
        <v>6754</v>
      </c>
      <c r="N576" t="s">
        <v>60</v>
      </c>
      <c r="O576" t="s">
        <v>54</v>
      </c>
      <c r="P576" t="s">
        <v>41</v>
      </c>
      <c r="Q576" s="2">
        <v>45141</v>
      </c>
      <c r="R576" s="13">
        <f t="shared" si="43"/>
        <v>1020.0000000034925</v>
      </c>
      <c r="S576" s="13">
        <f t="shared" si="44"/>
        <v>-677.04225352102014</v>
      </c>
      <c r="T576" s="2">
        <v>45141.708333333336</v>
      </c>
      <c r="U576" t="s">
        <v>42</v>
      </c>
      <c r="V576" t="s">
        <v>29</v>
      </c>
      <c r="W576" t="s">
        <v>47</v>
      </c>
      <c r="X576">
        <v>10</v>
      </c>
      <c r="Y576">
        <v>12</v>
      </c>
      <c r="Z576" t="s">
        <v>68</v>
      </c>
    </row>
    <row r="577" spans="1:26">
      <c r="A577" t="s">
        <v>634</v>
      </c>
      <c r="B577">
        <v>9</v>
      </c>
      <c r="C577" t="str">
        <f t="shared" si="40"/>
        <v>0-17</v>
      </c>
      <c r="D577" t="s">
        <v>45</v>
      </c>
      <c r="E577" s="2">
        <v>45328</v>
      </c>
      <c r="F577" s="2" t="str">
        <f t="shared" ca="1" si="41"/>
        <v>No</v>
      </c>
      <c r="G577" s="2" t="str">
        <f t="shared" si="42"/>
        <v>Feb-2024</v>
      </c>
      <c r="H577" s="2">
        <v>45602</v>
      </c>
      <c r="I577">
        <v>9</v>
      </c>
      <c r="J577" t="s">
        <v>50</v>
      </c>
      <c r="K577">
        <v>5</v>
      </c>
      <c r="L577" t="s">
        <v>35</v>
      </c>
      <c r="M577" s="9">
        <v>31745</v>
      </c>
      <c r="N577" t="s">
        <v>36</v>
      </c>
      <c r="O577" t="s">
        <v>54</v>
      </c>
      <c r="P577" t="s">
        <v>27</v>
      </c>
      <c r="Q577" s="2">
        <v>45297</v>
      </c>
      <c r="R577" s="13">
        <f t="shared" si="43"/>
        <v>360</v>
      </c>
      <c r="S577" s="13">
        <f t="shared" si="44"/>
        <v>-681.03529411754846</v>
      </c>
      <c r="T577" s="2">
        <v>45297.25</v>
      </c>
      <c r="U577" t="s">
        <v>28</v>
      </c>
      <c r="V577" t="s">
        <v>38</v>
      </c>
      <c r="W577" t="s">
        <v>43</v>
      </c>
      <c r="X577">
        <v>10</v>
      </c>
      <c r="Y577">
        <v>12</v>
      </c>
      <c r="Z577" t="s">
        <v>31</v>
      </c>
    </row>
    <row r="578" spans="1:26">
      <c r="A578" t="s">
        <v>635</v>
      </c>
      <c r="B578">
        <v>50</v>
      </c>
      <c r="C578" t="str">
        <f t="shared" si="40"/>
        <v>36-50</v>
      </c>
      <c r="D578" t="s">
        <v>45</v>
      </c>
      <c r="E578" s="2">
        <v>45276</v>
      </c>
      <c r="F578" s="2" t="str">
        <f t="shared" ca="1" si="41"/>
        <v>No</v>
      </c>
      <c r="G578" s="2" t="str">
        <f t="shared" si="42"/>
        <v>Dec-2023</v>
      </c>
      <c r="H578" s="2">
        <v>45287</v>
      </c>
      <c r="I578">
        <v>11</v>
      </c>
      <c r="J578" t="s">
        <v>23</v>
      </c>
      <c r="K578">
        <v>2</v>
      </c>
      <c r="L578" t="s">
        <v>66</v>
      </c>
      <c r="M578" s="9">
        <v>12378</v>
      </c>
      <c r="N578" t="s">
        <v>67</v>
      </c>
      <c r="O578" t="s">
        <v>26</v>
      </c>
      <c r="P578" t="s">
        <v>41</v>
      </c>
      <c r="Q578" s="2">
        <v>45275</v>
      </c>
      <c r="R578" s="13">
        <f t="shared" si="43"/>
        <v>1440</v>
      </c>
      <c r="S578" s="13">
        <f t="shared" si="44"/>
        <v>-683.490566037637</v>
      </c>
      <c r="T578" s="2">
        <v>45276</v>
      </c>
      <c r="U578" t="s">
        <v>55</v>
      </c>
      <c r="V578" t="s">
        <v>29</v>
      </c>
      <c r="W578" t="s">
        <v>47</v>
      </c>
      <c r="X578">
        <v>9</v>
      </c>
      <c r="Y578">
        <v>8</v>
      </c>
      <c r="Z578" t="s">
        <v>48</v>
      </c>
    </row>
    <row r="579" spans="1:26">
      <c r="A579" t="s">
        <v>636</v>
      </c>
      <c r="B579">
        <v>27</v>
      </c>
      <c r="C579" t="str">
        <f t="shared" ref="C579:C642" si="45">IF(B579&lt;18,"0-17",IF(B579&lt;=35,"18-35",IF(B579&lt;=50,"36-50",IF(B579&lt;=65,"51-65","66+"))))</f>
        <v>18-35</v>
      </c>
      <c r="D579" t="s">
        <v>22</v>
      </c>
      <c r="E579" s="2">
        <v>44939</v>
      </c>
      <c r="F579" s="2" t="str">
        <f t="shared" ref="F579:F642" ca="1" si="46">IF(E579&gt;=EDATE(TODAY(),-12),"Yes","No")</f>
        <v>No</v>
      </c>
      <c r="G579" s="2" t="str">
        <f t="shared" ref="G579:G642" si="47">TEXT(E579,"mmm-yyyy")</f>
        <v>Jan-2023</v>
      </c>
      <c r="H579" s="2">
        <v>44946</v>
      </c>
      <c r="I579">
        <v>7</v>
      </c>
      <c r="J579" t="s">
        <v>50</v>
      </c>
      <c r="K579">
        <v>1</v>
      </c>
      <c r="L579" t="s">
        <v>46</v>
      </c>
      <c r="M579" s="9">
        <v>25140</v>
      </c>
      <c r="N579" t="s">
        <v>36</v>
      </c>
      <c r="O579" t="s">
        <v>54</v>
      </c>
      <c r="P579" t="s">
        <v>27</v>
      </c>
      <c r="Q579" s="2">
        <v>45261</v>
      </c>
      <c r="R579" s="13">
        <f t="shared" ref="R579:R642" si="48">(T579-Q579)*1440</f>
        <v>-462540.00000000349</v>
      </c>
      <c r="S579" s="13">
        <f t="shared" ref="S579:S642" si="49">AVERAGE(R579:R1077)</f>
        <v>-688.51063829777331</v>
      </c>
      <c r="T579" s="2">
        <v>44939.791666666664</v>
      </c>
      <c r="U579" t="s">
        <v>37</v>
      </c>
      <c r="V579" t="s">
        <v>29</v>
      </c>
      <c r="W579" t="s">
        <v>30</v>
      </c>
      <c r="X579">
        <v>8</v>
      </c>
      <c r="Y579">
        <v>10</v>
      </c>
      <c r="Z579" t="s">
        <v>31</v>
      </c>
    </row>
    <row r="580" spans="1:26">
      <c r="A580" t="s">
        <v>637</v>
      </c>
      <c r="B580">
        <v>66</v>
      </c>
      <c r="C580" t="str">
        <f t="shared" si="45"/>
        <v>66+</v>
      </c>
      <c r="D580" t="s">
        <v>62</v>
      </c>
      <c r="E580" s="2">
        <v>45446</v>
      </c>
      <c r="F580" s="2" t="str">
        <f t="shared" ca="1" si="46"/>
        <v>No</v>
      </c>
      <c r="G580" s="2" t="str">
        <f t="shared" si="47"/>
        <v>Jun-2024</v>
      </c>
      <c r="H580" s="2">
        <v>45599</v>
      </c>
      <c r="I580">
        <v>5</v>
      </c>
      <c r="J580" t="s">
        <v>57</v>
      </c>
      <c r="K580">
        <v>2</v>
      </c>
      <c r="L580" t="s">
        <v>66</v>
      </c>
      <c r="M580" s="9">
        <v>14371</v>
      </c>
      <c r="N580" t="s">
        <v>60</v>
      </c>
      <c r="O580" t="s">
        <v>54</v>
      </c>
      <c r="P580" t="s">
        <v>41</v>
      </c>
      <c r="Q580" s="2">
        <v>45354</v>
      </c>
      <c r="R580" s="13">
        <f t="shared" si="48"/>
        <v>45720</v>
      </c>
      <c r="S580" s="13">
        <f t="shared" si="49"/>
        <v>405.92417061622132</v>
      </c>
      <c r="T580" s="2">
        <v>45385.75</v>
      </c>
      <c r="U580" t="s">
        <v>55</v>
      </c>
      <c r="V580" t="s">
        <v>29</v>
      </c>
      <c r="W580" t="s">
        <v>43</v>
      </c>
      <c r="X580">
        <v>4</v>
      </c>
      <c r="Y580">
        <v>12</v>
      </c>
      <c r="Z580" t="s">
        <v>48</v>
      </c>
    </row>
    <row r="581" spans="1:26">
      <c r="A581" t="s">
        <v>638</v>
      </c>
      <c r="B581">
        <v>5</v>
      </c>
      <c r="C581" t="str">
        <f t="shared" si="45"/>
        <v>0-17</v>
      </c>
      <c r="D581" t="s">
        <v>52</v>
      </c>
      <c r="E581" s="2">
        <v>45428</v>
      </c>
      <c r="F581" s="2" t="str">
        <f t="shared" ca="1" si="46"/>
        <v>No</v>
      </c>
      <c r="G581" s="2" t="str">
        <f t="shared" si="47"/>
        <v>May-2024</v>
      </c>
      <c r="H581" s="2">
        <v>45433</v>
      </c>
      <c r="I581">
        <v>5</v>
      </c>
      <c r="J581" t="s">
        <v>57</v>
      </c>
      <c r="K581">
        <v>5</v>
      </c>
      <c r="L581" t="s">
        <v>24</v>
      </c>
      <c r="M581" s="9">
        <v>31999</v>
      </c>
      <c r="N581" t="s">
        <v>60</v>
      </c>
      <c r="O581" t="s">
        <v>54</v>
      </c>
      <c r="P581" t="s">
        <v>27</v>
      </c>
      <c r="Q581" s="2">
        <v>45427</v>
      </c>
      <c r="R581" s="13">
        <f t="shared" si="48"/>
        <v>660.00000000349246</v>
      </c>
      <c r="S581" s="13">
        <f t="shared" si="49"/>
        <v>298.28978622338576</v>
      </c>
      <c r="T581" s="2">
        <v>45427.458333333336</v>
      </c>
      <c r="U581" t="s">
        <v>55</v>
      </c>
      <c r="V581" t="s">
        <v>29</v>
      </c>
      <c r="W581" t="s">
        <v>43</v>
      </c>
      <c r="X581">
        <v>4</v>
      </c>
      <c r="Y581">
        <v>10</v>
      </c>
      <c r="Z581" t="s">
        <v>68</v>
      </c>
    </row>
    <row r="582" spans="1:26">
      <c r="A582" t="s">
        <v>639</v>
      </c>
      <c r="B582">
        <v>29</v>
      </c>
      <c r="C582" t="str">
        <f t="shared" si="45"/>
        <v>18-35</v>
      </c>
      <c r="D582" t="s">
        <v>33</v>
      </c>
      <c r="E582" s="2">
        <v>45035</v>
      </c>
      <c r="F582" s="2" t="str">
        <f t="shared" ca="1" si="46"/>
        <v>No</v>
      </c>
      <c r="G582" s="2" t="str">
        <f t="shared" si="47"/>
        <v>Apr-2023</v>
      </c>
      <c r="H582" s="2">
        <v>44931</v>
      </c>
      <c r="I582">
        <v>12</v>
      </c>
      <c r="J582" t="s">
        <v>57</v>
      </c>
      <c r="K582">
        <v>5</v>
      </c>
      <c r="L582" t="s">
        <v>71</v>
      </c>
      <c r="M582" s="9">
        <v>17779</v>
      </c>
      <c r="N582" t="s">
        <v>36</v>
      </c>
      <c r="O582" t="s">
        <v>26</v>
      </c>
      <c r="P582" t="s">
        <v>27</v>
      </c>
      <c r="Q582" s="2">
        <v>45032</v>
      </c>
      <c r="R582" s="13">
        <f t="shared" si="48"/>
        <v>239.99999999650754</v>
      </c>
      <c r="S582" s="13">
        <f t="shared" si="49"/>
        <v>297.42857142867121</v>
      </c>
      <c r="T582" s="2">
        <v>45032.166666666664</v>
      </c>
      <c r="U582" t="s">
        <v>42</v>
      </c>
      <c r="V582" t="s">
        <v>29</v>
      </c>
      <c r="W582" t="s">
        <v>30</v>
      </c>
      <c r="X582">
        <v>11</v>
      </c>
      <c r="Y582">
        <v>8</v>
      </c>
      <c r="Z582" t="s">
        <v>68</v>
      </c>
    </row>
    <row r="583" spans="1:26">
      <c r="A583" t="s">
        <v>640</v>
      </c>
      <c r="B583">
        <v>37</v>
      </c>
      <c r="C583" t="str">
        <f t="shared" si="45"/>
        <v>36-50</v>
      </c>
      <c r="D583" t="s">
        <v>45</v>
      </c>
      <c r="E583" s="2">
        <v>45370</v>
      </c>
      <c r="F583" s="2" t="str">
        <f t="shared" ca="1" si="46"/>
        <v>No</v>
      </c>
      <c r="G583" s="2" t="str">
        <f t="shared" si="47"/>
        <v>Mar-2024</v>
      </c>
      <c r="H583" s="2">
        <v>45326</v>
      </c>
      <c r="I583">
        <v>14</v>
      </c>
      <c r="J583" t="s">
        <v>23</v>
      </c>
      <c r="K583">
        <v>4</v>
      </c>
      <c r="L583" t="s">
        <v>66</v>
      </c>
      <c r="M583" s="9">
        <v>36075</v>
      </c>
      <c r="N583" t="s">
        <v>36</v>
      </c>
      <c r="O583" t="s">
        <v>54</v>
      </c>
      <c r="P583" t="s">
        <v>41</v>
      </c>
      <c r="Q583" s="2">
        <v>45365</v>
      </c>
      <c r="R583" s="13">
        <f t="shared" si="48"/>
        <v>1560.0000000034925</v>
      </c>
      <c r="S583" s="13">
        <f t="shared" si="49"/>
        <v>297.56563245834224</v>
      </c>
      <c r="T583" s="2">
        <v>45366.083333333336</v>
      </c>
      <c r="U583" t="s">
        <v>37</v>
      </c>
      <c r="V583" t="s">
        <v>29</v>
      </c>
      <c r="W583" t="s">
        <v>30</v>
      </c>
      <c r="X583">
        <v>6</v>
      </c>
      <c r="Y583">
        <v>10</v>
      </c>
      <c r="Z583" t="s">
        <v>68</v>
      </c>
    </row>
    <row r="584" spans="1:26">
      <c r="A584" t="s">
        <v>641</v>
      </c>
      <c r="B584">
        <v>38</v>
      </c>
      <c r="C584" t="str">
        <f t="shared" si="45"/>
        <v>36-50</v>
      </c>
      <c r="D584" t="s">
        <v>33</v>
      </c>
      <c r="E584" s="2">
        <v>45444</v>
      </c>
      <c r="F584" s="2" t="str">
        <f t="shared" ca="1" si="46"/>
        <v>No</v>
      </c>
      <c r="G584" s="2" t="str">
        <f t="shared" si="47"/>
        <v>Jun-2024</v>
      </c>
      <c r="H584" s="2">
        <v>45308</v>
      </c>
      <c r="I584">
        <v>11</v>
      </c>
      <c r="J584" t="s">
        <v>63</v>
      </c>
      <c r="K584">
        <v>2</v>
      </c>
      <c r="L584" t="s">
        <v>71</v>
      </c>
      <c r="M584" s="9">
        <v>35697</v>
      </c>
      <c r="N584" t="s">
        <v>36</v>
      </c>
      <c r="O584" t="s">
        <v>54</v>
      </c>
      <c r="P584" t="s">
        <v>27</v>
      </c>
      <c r="Q584" s="2">
        <v>45323</v>
      </c>
      <c r="R584" s="13">
        <f t="shared" si="48"/>
        <v>42780.000000003492</v>
      </c>
      <c r="S584" s="13">
        <f t="shared" si="49"/>
        <v>294.54545454555483</v>
      </c>
      <c r="T584" s="2">
        <v>45352.708333333336</v>
      </c>
      <c r="U584" t="s">
        <v>37</v>
      </c>
      <c r="V584" t="s">
        <v>29</v>
      </c>
      <c r="W584" t="s">
        <v>30</v>
      </c>
      <c r="X584">
        <v>4</v>
      </c>
      <c r="Y584">
        <v>12</v>
      </c>
      <c r="Z584" t="s">
        <v>68</v>
      </c>
    </row>
    <row r="585" spans="1:26">
      <c r="A585" t="s">
        <v>642</v>
      </c>
      <c r="B585">
        <v>83</v>
      </c>
      <c r="C585" t="str">
        <f t="shared" si="45"/>
        <v>66+</v>
      </c>
      <c r="D585" t="s">
        <v>41</v>
      </c>
      <c r="E585" s="2">
        <v>45397</v>
      </c>
      <c r="F585" s="2" t="str">
        <f t="shared" ca="1" si="46"/>
        <v>No</v>
      </c>
      <c r="G585" s="2" t="str">
        <f t="shared" si="47"/>
        <v>Apr-2024</v>
      </c>
      <c r="H585" s="2">
        <v>45412</v>
      </c>
      <c r="I585">
        <v>15</v>
      </c>
      <c r="J585" t="s">
        <v>57</v>
      </c>
      <c r="K585">
        <v>2</v>
      </c>
      <c r="L585" t="s">
        <v>46</v>
      </c>
      <c r="M585" s="9">
        <v>14795</v>
      </c>
      <c r="N585" t="s">
        <v>25</v>
      </c>
      <c r="O585" t="s">
        <v>54</v>
      </c>
      <c r="P585" t="s">
        <v>41</v>
      </c>
      <c r="Q585" s="2">
        <v>45395</v>
      </c>
      <c r="R585" s="13">
        <f t="shared" si="48"/>
        <v>1200.0000000034925</v>
      </c>
      <c r="S585" s="13">
        <f t="shared" si="49"/>
        <v>192.66187050368924</v>
      </c>
      <c r="T585" s="2">
        <v>45395.833333333336</v>
      </c>
      <c r="U585" t="s">
        <v>55</v>
      </c>
      <c r="V585" t="s">
        <v>29</v>
      </c>
      <c r="W585" t="s">
        <v>43</v>
      </c>
      <c r="X585">
        <v>11</v>
      </c>
      <c r="Y585">
        <v>10</v>
      </c>
      <c r="Z585" t="s">
        <v>48</v>
      </c>
    </row>
    <row r="586" spans="1:26">
      <c r="A586" t="s">
        <v>643</v>
      </c>
      <c r="B586">
        <v>8</v>
      </c>
      <c r="C586" t="str">
        <f t="shared" si="45"/>
        <v>0-17</v>
      </c>
      <c r="D586" t="s">
        <v>22</v>
      </c>
      <c r="E586" s="2">
        <v>45083</v>
      </c>
      <c r="F586" s="2" t="str">
        <f t="shared" ca="1" si="46"/>
        <v>No</v>
      </c>
      <c r="G586" s="2" t="str">
        <f t="shared" si="47"/>
        <v>Jun-2023</v>
      </c>
      <c r="H586" s="2">
        <v>45093</v>
      </c>
      <c r="I586">
        <v>10</v>
      </c>
      <c r="J586" t="s">
        <v>50</v>
      </c>
      <c r="K586">
        <v>1</v>
      </c>
      <c r="L586" t="s">
        <v>66</v>
      </c>
      <c r="M586" s="9">
        <v>43460</v>
      </c>
      <c r="N586" t="s">
        <v>60</v>
      </c>
      <c r="O586" t="s">
        <v>26</v>
      </c>
      <c r="P586" t="s">
        <v>27</v>
      </c>
      <c r="Q586" s="2">
        <v>44991</v>
      </c>
      <c r="R586" s="13">
        <f t="shared" si="48"/>
        <v>46020.000000003492</v>
      </c>
      <c r="S586" s="13">
        <f t="shared" si="49"/>
        <v>190.24038461546857</v>
      </c>
      <c r="T586" s="2">
        <v>45022.958333333336</v>
      </c>
      <c r="U586" t="s">
        <v>37</v>
      </c>
      <c r="V586" t="s">
        <v>29</v>
      </c>
      <c r="W586" t="s">
        <v>43</v>
      </c>
      <c r="X586">
        <v>8</v>
      </c>
      <c r="Y586">
        <v>10</v>
      </c>
      <c r="Z586" t="s">
        <v>68</v>
      </c>
    </row>
    <row r="587" spans="1:26">
      <c r="A587" t="s">
        <v>644</v>
      </c>
      <c r="B587">
        <v>65</v>
      </c>
      <c r="C587" t="str">
        <f t="shared" si="45"/>
        <v>51-65</v>
      </c>
      <c r="D587" t="s">
        <v>33</v>
      </c>
      <c r="E587" s="2">
        <v>45372</v>
      </c>
      <c r="F587" s="2" t="str">
        <f t="shared" ca="1" si="46"/>
        <v>No</v>
      </c>
      <c r="G587" s="2" t="str">
        <f t="shared" si="47"/>
        <v>Mar-2024</v>
      </c>
      <c r="H587" s="2">
        <v>45386</v>
      </c>
      <c r="I587">
        <v>14</v>
      </c>
      <c r="J587" t="s">
        <v>57</v>
      </c>
      <c r="K587">
        <v>1</v>
      </c>
      <c r="L587" t="s">
        <v>35</v>
      </c>
      <c r="M587" s="9">
        <v>9218</v>
      </c>
      <c r="N587" t="s">
        <v>60</v>
      </c>
      <c r="O587" t="s">
        <v>54</v>
      </c>
      <c r="P587" t="s">
        <v>27</v>
      </c>
      <c r="Q587" s="2">
        <v>45367</v>
      </c>
      <c r="R587" s="13">
        <f t="shared" si="48"/>
        <v>2700</v>
      </c>
      <c r="S587" s="13">
        <f t="shared" si="49"/>
        <v>79.807228915738392</v>
      </c>
      <c r="T587" s="2">
        <v>45368.875</v>
      </c>
      <c r="U587" t="s">
        <v>37</v>
      </c>
      <c r="V587" t="s">
        <v>29</v>
      </c>
      <c r="W587" t="s">
        <v>30</v>
      </c>
      <c r="X587">
        <v>9</v>
      </c>
      <c r="Y587">
        <v>8</v>
      </c>
      <c r="Z587" t="s">
        <v>48</v>
      </c>
    </row>
    <row r="588" spans="1:26">
      <c r="A588" t="s">
        <v>645</v>
      </c>
      <c r="B588">
        <v>86</v>
      </c>
      <c r="C588" t="str">
        <f t="shared" si="45"/>
        <v>66+</v>
      </c>
      <c r="D588" t="s">
        <v>22</v>
      </c>
      <c r="E588" s="2">
        <v>45107</v>
      </c>
      <c r="F588" s="2" t="str">
        <f t="shared" ca="1" si="46"/>
        <v>No</v>
      </c>
      <c r="G588" s="2" t="str">
        <f t="shared" si="47"/>
        <v>Jun-2023</v>
      </c>
      <c r="H588" s="2">
        <v>44992</v>
      </c>
      <c r="I588">
        <v>3</v>
      </c>
      <c r="J588" t="s">
        <v>40</v>
      </c>
      <c r="K588">
        <v>4</v>
      </c>
      <c r="L588" t="s">
        <v>71</v>
      </c>
      <c r="M588" s="9">
        <v>42571</v>
      </c>
      <c r="N588" t="s">
        <v>25</v>
      </c>
      <c r="O588" t="s">
        <v>54</v>
      </c>
      <c r="P588" t="s">
        <v>27</v>
      </c>
      <c r="Q588" s="2">
        <v>45103</v>
      </c>
      <c r="R588" s="13">
        <f t="shared" si="48"/>
        <v>900</v>
      </c>
      <c r="S588" s="13">
        <f t="shared" si="49"/>
        <v>73.478260869641147</v>
      </c>
      <c r="T588" s="2">
        <v>45103.625</v>
      </c>
      <c r="U588" t="s">
        <v>42</v>
      </c>
      <c r="V588" t="s">
        <v>29</v>
      </c>
      <c r="W588" t="s">
        <v>30</v>
      </c>
      <c r="X588">
        <v>6</v>
      </c>
      <c r="Y588">
        <v>8</v>
      </c>
      <c r="Z588" t="s">
        <v>48</v>
      </c>
    </row>
    <row r="589" spans="1:26">
      <c r="A589" t="s">
        <v>646</v>
      </c>
      <c r="B589">
        <v>17</v>
      </c>
      <c r="C589" t="str">
        <f t="shared" si="45"/>
        <v>0-17</v>
      </c>
      <c r="D589" t="s">
        <v>33</v>
      </c>
      <c r="E589" s="2">
        <v>45461</v>
      </c>
      <c r="F589" s="2" t="str">
        <f t="shared" ca="1" si="46"/>
        <v>No</v>
      </c>
      <c r="G589" s="2" t="str">
        <f t="shared" si="47"/>
        <v>Jun-2024</v>
      </c>
      <c r="H589" s="2">
        <v>45467</v>
      </c>
      <c r="I589">
        <v>6</v>
      </c>
      <c r="J589" t="s">
        <v>57</v>
      </c>
      <c r="K589">
        <v>3</v>
      </c>
      <c r="L589" t="s">
        <v>46</v>
      </c>
      <c r="M589" s="9">
        <v>16672</v>
      </c>
      <c r="N589" t="s">
        <v>36</v>
      </c>
      <c r="O589" t="s">
        <v>54</v>
      </c>
      <c r="P589" t="s">
        <v>27</v>
      </c>
      <c r="Q589" s="2">
        <v>45458</v>
      </c>
      <c r="R589" s="13">
        <f t="shared" si="48"/>
        <v>1679.9999999965075</v>
      </c>
      <c r="S589" s="13">
        <f t="shared" si="49"/>
        <v>71.476997578768604</v>
      </c>
      <c r="T589" s="2">
        <v>45459.166666666664</v>
      </c>
      <c r="U589" t="s">
        <v>64</v>
      </c>
      <c r="V589" t="s">
        <v>29</v>
      </c>
      <c r="W589" t="s">
        <v>30</v>
      </c>
      <c r="X589">
        <v>11</v>
      </c>
      <c r="Y589">
        <v>8</v>
      </c>
      <c r="Z589" t="s">
        <v>31</v>
      </c>
    </row>
    <row r="590" spans="1:26">
      <c r="A590" t="s">
        <v>647</v>
      </c>
      <c r="B590">
        <v>71</v>
      </c>
      <c r="C590" t="str">
        <f t="shared" si="45"/>
        <v>66+</v>
      </c>
      <c r="D590" t="s">
        <v>52</v>
      </c>
      <c r="E590" s="2">
        <v>45026</v>
      </c>
      <c r="F590" s="2" t="str">
        <f t="shared" ca="1" si="46"/>
        <v>No</v>
      </c>
      <c r="G590" s="2" t="str">
        <f t="shared" si="47"/>
        <v>Apr-2023</v>
      </c>
      <c r="H590" s="2">
        <v>45087</v>
      </c>
      <c r="I590">
        <v>2</v>
      </c>
      <c r="J590" t="s">
        <v>23</v>
      </c>
      <c r="K590">
        <v>3</v>
      </c>
      <c r="L590" t="s">
        <v>35</v>
      </c>
      <c r="M590" s="9">
        <v>36042</v>
      </c>
      <c r="N590" t="s">
        <v>67</v>
      </c>
      <c r="O590" t="s">
        <v>54</v>
      </c>
      <c r="P590" t="s">
        <v>27</v>
      </c>
      <c r="Q590" s="2">
        <v>45199</v>
      </c>
      <c r="R590" s="13">
        <f t="shared" si="48"/>
        <v>-377640</v>
      </c>
      <c r="S590" s="13">
        <f t="shared" si="49"/>
        <v>67.572815534065356</v>
      </c>
      <c r="T590" s="2">
        <v>44936.75</v>
      </c>
      <c r="U590" t="s">
        <v>28</v>
      </c>
      <c r="V590" t="s">
        <v>29</v>
      </c>
      <c r="W590" t="s">
        <v>30</v>
      </c>
      <c r="X590">
        <v>4</v>
      </c>
      <c r="Y590">
        <v>8</v>
      </c>
      <c r="Z590" t="s">
        <v>68</v>
      </c>
    </row>
    <row r="591" spans="1:26">
      <c r="A591" t="s">
        <v>648</v>
      </c>
      <c r="B591">
        <v>89</v>
      </c>
      <c r="C591" t="str">
        <f t="shared" si="45"/>
        <v>66+</v>
      </c>
      <c r="D591" t="s">
        <v>52</v>
      </c>
      <c r="E591" s="2">
        <v>45570</v>
      </c>
      <c r="F591" s="2" t="str">
        <f t="shared" ca="1" si="46"/>
        <v>No</v>
      </c>
      <c r="G591" s="2" t="str">
        <f t="shared" si="47"/>
        <v>Oct-2024</v>
      </c>
      <c r="H591" s="2">
        <v>45432</v>
      </c>
      <c r="I591">
        <v>10</v>
      </c>
      <c r="J591" t="s">
        <v>63</v>
      </c>
      <c r="K591">
        <v>3</v>
      </c>
      <c r="L591" t="s">
        <v>35</v>
      </c>
      <c r="M591" s="9">
        <v>40950</v>
      </c>
      <c r="N591" t="s">
        <v>36</v>
      </c>
      <c r="O591" t="s">
        <v>26</v>
      </c>
      <c r="P591" t="s">
        <v>41</v>
      </c>
      <c r="Q591" s="2">
        <v>45417</v>
      </c>
      <c r="R591" s="13">
        <f t="shared" si="48"/>
        <v>360</v>
      </c>
      <c r="S591" s="13">
        <f t="shared" si="49"/>
        <v>986.56934306577841</v>
      </c>
      <c r="T591" s="2">
        <v>45417.25</v>
      </c>
      <c r="U591" t="s">
        <v>64</v>
      </c>
      <c r="V591" t="s">
        <v>29</v>
      </c>
      <c r="W591" t="s">
        <v>30</v>
      </c>
      <c r="X591">
        <v>6</v>
      </c>
      <c r="Y591">
        <v>10</v>
      </c>
      <c r="Z591" t="s">
        <v>68</v>
      </c>
    </row>
    <row r="592" spans="1:26">
      <c r="A592" t="s">
        <v>649</v>
      </c>
      <c r="B592">
        <v>45</v>
      </c>
      <c r="C592" t="str">
        <f t="shared" si="45"/>
        <v>36-50</v>
      </c>
      <c r="D592" t="s">
        <v>52</v>
      </c>
      <c r="E592" s="2">
        <v>45403</v>
      </c>
      <c r="F592" s="2" t="str">
        <f t="shared" ca="1" si="46"/>
        <v>No</v>
      </c>
      <c r="G592" s="2" t="str">
        <f t="shared" si="47"/>
        <v>Apr-2024</v>
      </c>
      <c r="H592" s="2">
        <v>45327</v>
      </c>
      <c r="I592">
        <v>11</v>
      </c>
      <c r="J592" t="s">
        <v>40</v>
      </c>
      <c r="K592">
        <v>2</v>
      </c>
      <c r="L592" t="s">
        <v>35</v>
      </c>
      <c r="M592" s="9">
        <v>16009</v>
      </c>
      <c r="N592" t="s">
        <v>36</v>
      </c>
      <c r="O592" t="s">
        <v>54</v>
      </c>
      <c r="P592" t="s">
        <v>41</v>
      </c>
      <c r="Q592" s="2">
        <v>45402</v>
      </c>
      <c r="R592" s="13">
        <f t="shared" si="48"/>
        <v>2759.9999999965075</v>
      </c>
      <c r="S592" s="13">
        <f t="shared" si="49"/>
        <v>988.09756097569493</v>
      </c>
      <c r="T592" s="2">
        <v>45403.916666666664</v>
      </c>
      <c r="U592" t="s">
        <v>37</v>
      </c>
      <c r="V592" t="s">
        <v>38</v>
      </c>
      <c r="W592" t="s">
        <v>47</v>
      </c>
      <c r="X592">
        <v>7</v>
      </c>
      <c r="Y592">
        <v>10</v>
      </c>
      <c r="Z592" t="s">
        <v>31</v>
      </c>
    </row>
    <row r="593" spans="1:26">
      <c r="A593" t="s">
        <v>650</v>
      </c>
      <c r="B593">
        <v>4</v>
      </c>
      <c r="C593" t="str">
        <f t="shared" si="45"/>
        <v>0-17</v>
      </c>
      <c r="D593" t="s">
        <v>52</v>
      </c>
      <c r="E593" s="2">
        <v>45373</v>
      </c>
      <c r="F593" s="2" t="str">
        <f t="shared" ca="1" si="46"/>
        <v>No</v>
      </c>
      <c r="G593" s="2" t="str">
        <f t="shared" si="47"/>
        <v>Mar-2024</v>
      </c>
      <c r="H593" s="2">
        <v>45376</v>
      </c>
      <c r="I593">
        <v>3</v>
      </c>
      <c r="J593" t="s">
        <v>23</v>
      </c>
      <c r="K593">
        <v>2</v>
      </c>
      <c r="L593" t="s">
        <v>35</v>
      </c>
      <c r="M593" s="9">
        <v>24544</v>
      </c>
      <c r="N593" t="s">
        <v>25</v>
      </c>
      <c r="O593" t="s">
        <v>26</v>
      </c>
      <c r="P593" t="s">
        <v>27</v>
      </c>
      <c r="Q593" s="2">
        <v>45372</v>
      </c>
      <c r="R593" s="13">
        <f t="shared" si="48"/>
        <v>419.99999999650754</v>
      </c>
      <c r="S593" s="13">
        <f t="shared" si="49"/>
        <v>983.76528117368809</v>
      </c>
      <c r="T593" s="2">
        <v>45372.291666666664</v>
      </c>
      <c r="U593" t="s">
        <v>55</v>
      </c>
      <c r="V593" t="s">
        <v>29</v>
      </c>
      <c r="W593" t="s">
        <v>30</v>
      </c>
      <c r="X593">
        <v>6</v>
      </c>
      <c r="Y593">
        <v>8</v>
      </c>
      <c r="Z593" t="s">
        <v>48</v>
      </c>
    </row>
    <row r="594" spans="1:26">
      <c r="A594" t="s">
        <v>651</v>
      </c>
      <c r="B594">
        <v>36</v>
      </c>
      <c r="C594" t="str">
        <f t="shared" si="45"/>
        <v>36-50</v>
      </c>
      <c r="D594" t="s">
        <v>52</v>
      </c>
      <c r="E594" s="2">
        <v>44967</v>
      </c>
      <c r="F594" s="2" t="str">
        <f t="shared" ca="1" si="46"/>
        <v>No</v>
      </c>
      <c r="G594" s="2" t="str">
        <f t="shared" si="47"/>
        <v>Feb-2023</v>
      </c>
      <c r="H594" s="2">
        <v>45216</v>
      </c>
      <c r="I594">
        <v>15</v>
      </c>
      <c r="J594" t="s">
        <v>23</v>
      </c>
      <c r="K594">
        <v>5</v>
      </c>
      <c r="L594" t="s">
        <v>66</v>
      </c>
      <c r="M594" s="9">
        <v>34381</v>
      </c>
      <c r="N594" t="s">
        <v>60</v>
      </c>
      <c r="O594" t="s">
        <v>26</v>
      </c>
      <c r="P594" t="s">
        <v>27</v>
      </c>
      <c r="Q594" s="2">
        <v>45196</v>
      </c>
      <c r="R594" s="13">
        <f t="shared" si="48"/>
        <v>59.99999999650754</v>
      </c>
      <c r="S594" s="13">
        <f t="shared" si="49"/>
        <v>985.14705882363216</v>
      </c>
      <c r="T594" s="2">
        <v>45196.041666666664</v>
      </c>
      <c r="U594" t="s">
        <v>28</v>
      </c>
      <c r="V594" t="s">
        <v>29</v>
      </c>
      <c r="W594" t="s">
        <v>47</v>
      </c>
      <c r="X594">
        <v>10</v>
      </c>
      <c r="Y594">
        <v>8</v>
      </c>
      <c r="Z594" t="s">
        <v>68</v>
      </c>
    </row>
    <row r="595" spans="1:26">
      <c r="A595" t="s">
        <v>652</v>
      </c>
      <c r="B595">
        <v>70</v>
      </c>
      <c r="C595" t="str">
        <f t="shared" si="45"/>
        <v>66+</v>
      </c>
      <c r="D595" t="s">
        <v>52</v>
      </c>
      <c r="E595" s="2">
        <v>45257</v>
      </c>
      <c r="F595" s="2" t="str">
        <f t="shared" ca="1" si="46"/>
        <v>No</v>
      </c>
      <c r="G595" s="2" t="str">
        <f t="shared" si="47"/>
        <v>Nov-2023</v>
      </c>
      <c r="H595" s="2">
        <v>44997</v>
      </c>
      <c r="I595">
        <v>6</v>
      </c>
      <c r="J595" t="s">
        <v>23</v>
      </c>
      <c r="K595">
        <v>2</v>
      </c>
      <c r="L595" t="s">
        <v>66</v>
      </c>
      <c r="M595" s="9">
        <v>30287</v>
      </c>
      <c r="N595" t="s">
        <v>36</v>
      </c>
      <c r="O595" t="s">
        <v>54</v>
      </c>
      <c r="P595" t="s">
        <v>27</v>
      </c>
      <c r="Q595" s="2">
        <v>45253</v>
      </c>
      <c r="R595" s="13">
        <f t="shared" si="48"/>
        <v>840.00000000349246</v>
      </c>
      <c r="S595" s="13">
        <f t="shared" si="49"/>
        <v>987.42014742025901</v>
      </c>
      <c r="T595" s="2">
        <v>45253.583333333336</v>
      </c>
      <c r="U595" t="s">
        <v>28</v>
      </c>
      <c r="V595" t="s">
        <v>29</v>
      </c>
      <c r="W595" t="s">
        <v>43</v>
      </c>
      <c r="X595">
        <v>9</v>
      </c>
      <c r="Y595">
        <v>12</v>
      </c>
      <c r="Z595" t="s">
        <v>48</v>
      </c>
    </row>
    <row r="596" spans="1:26">
      <c r="A596" t="s">
        <v>653</v>
      </c>
      <c r="B596">
        <v>31</v>
      </c>
      <c r="C596" t="str">
        <f t="shared" si="45"/>
        <v>18-35</v>
      </c>
      <c r="D596" t="s">
        <v>22</v>
      </c>
      <c r="E596" s="2">
        <v>45178</v>
      </c>
      <c r="F596" s="2" t="str">
        <f t="shared" ca="1" si="46"/>
        <v>No</v>
      </c>
      <c r="G596" s="2" t="str">
        <f t="shared" si="47"/>
        <v>Sep-2023</v>
      </c>
      <c r="H596" s="2">
        <v>45183</v>
      </c>
      <c r="I596">
        <v>5</v>
      </c>
      <c r="J596" t="s">
        <v>50</v>
      </c>
      <c r="K596">
        <v>2</v>
      </c>
      <c r="L596" t="s">
        <v>66</v>
      </c>
      <c r="M596" s="9">
        <v>7586</v>
      </c>
      <c r="N596" t="s">
        <v>60</v>
      </c>
      <c r="O596" t="s">
        <v>26</v>
      </c>
      <c r="P596" t="s">
        <v>27</v>
      </c>
      <c r="Q596" s="2">
        <v>45178</v>
      </c>
      <c r="R596" s="13">
        <f t="shared" si="48"/>
        <v>43619.999999996508</v>
      </c>
      <c r="S596" s="13">
        <f t="shared" si="49"/>
        <v>987.78325123163029</v>
      </c>
      <c r="T596" s="2">
        <v>45208.291666666664</v>
      </c>
      <c r="U596" t="s">
        <v>55</v>
      </c>
      <c r="V596" t="s">
        <v>29</v>
      </c>
      <c r="W596" t="s">
        <v>43</v>
      </c>
      <c r="X596">
        <v>10</v>
      </c>
      <c r="Y596">
        <v>12</v>
      </c>
      <c r="Z596" t="s">
        <v>31</v>
      </c>
    </row>
    <row r="597" spans="1:26">
      <c r="A597" t="s">
        <v>654</v>
      </c>
      <c r="B597">
        <v>19</v>
      </c>
      <c r="C597" t="str">
        <f t="shared" si="45"/>
        <v>18-35</v>
      </c>
      <c r="D597" t="s">
        <v>45</v>
      </c>
      <c r="E597" s="2">
        <v>45015</v>
      </c>
      <c r="F597" s="2" t="str">
        <f t="shared" ca="1" si="46"/>
        <v>No</v>
      </c>
      <c r="G597" s="2" t="str">
        <f t="shared" si="47"/>
        <v>Mar-2023</v>
      </c>
      <c r="H597" s="2">
        <v>45203</v>
      </c>
      <c r="I597">
        <v>11</v>
      </c>
      <c r="J597" t="s">
        <v>23</v>
      </c>
      <c r="K597">
        <v>2</v>
      </c>
      <c r="L597" t="s">
        <v>46</v>
      </c>
      <c r="M597" s="9">
        <v>7648</v>
      </c>
      <c r="N597" t="s">
        <v>53</v>
      </c>
      <c r="O597" t="s">
        <v>26</v>
      </c>
      <c r="P597" t="s">
        <v>27</v>
      </c>
      <c r="Q597" s="2">
        <v>45011</v>
      </c>
      <c r="R597" s="13">
        <f t="shared" si="48"/>
        <v>300.00000000349246</v>
      </c>
      <c r="S597" s="13">
        <f t="shared" si="49"/>
        <v>882.51851851863057</v>
      </c>
      <c r="T597" s="2">
        <v>45011.208333333336</v>
      </c>
      <c r="U597" t="s">
        <v>28</v>
      </c>
      <c r="V597" t="s">
        <v>29</v>
      </c>
      <c r="W597" t="s">
        <v>47</v>
      </c>
      <c r="X597">
        <v>7</v>
      </c>
      <c r="Y597">
        <v>8</v>
      </c>
      <c r="Z597" t="s">
        <v>48</v>
      </c>
    </row>
    <row r="598" spans="1:26">
      <c r="A598" t="s">
        <v>655</v>
      </c>
      <c r="B598">
        <v>61</v>
      </c>
      <c r="C598" t="str">
        <f t="shared" si="45"/>
        <v>51-65</v>
      </c>
      <c r="D598" t="s">
        <v>33</v>
      </c>
      <c r="E598" s="2">
        <v>45212</v>
      </c>
      <c r="F598" s="2" t="str">
        <f t="shared" ca="1" si="46"/>
        <v>No</v>
      </c>
      <c r="G598" s="2" t="str">
        <f t="shared" si="47"/>
        <v>Oct-2023</v>
      </c>
      <c r="H598" s="2">
        <v>45224</v>
      </c>
      <c r="I598">
        <v>12</v>
      </c>
      <c r="J598" t="s">
        <v>50</v>
      </c>
      <c r="K598">
        <v>4</v>
      </c>
      <c r="L598" t="s">
        <v>46</v>
      </c>
      <c r="M598" s="9">
        <v>45081</v>
      </c>
      <c r="N598" t="s">
        <v>60</v>
      </c>
      <c r="O598" t="s">
        <v>26</v>
      </c>
      <c r="P598" t="s">
        <v>27</v>
      </c>
      <c r="Q598" s="2">
        <v>45209</v>
      </c>
      <c r="R598" s="13">
        <f t="shared" si="48"/>
        <v>540</v>
      </c>
      <c r="S598" s="13">
        <f t="shared" si="49"/>
        <v>883.96039603970769</v>
      </c>
      <c r="T598" s="2">
        <v>45209.375</v>
      </c>
      <c r="U598" t="s">
        <v>55</v>
      </c>
      <c r="V598" t="s">
        <v>29</v>
      </c>
      <c r="W598" t="s">
        <v>30</v>
      </c>
      <c r="X598">
        <v>10</v>
      </c>
      <c r="Y598">
        <v>10</v>
      </c>
      <c r="Z598" t="s">
        <v>68</v>
      </c>
    </row>
    <row r="599" spans="1:26">
      <c r="A599" t="s">
        <v>656</v>
      </c>
      <c r="B599">
        <v>54</v>
      </c>
      <c r="C599" t="str">
        <f t="shared" si="45"/>
        <v>51-65</v>
      </c>
      <c r="D599" t="s">
        <v>52</v>
      </c>
      <c r="E599" s="2">
        <v>45447</v>
      </c>
      <c r="F599" s="2" t="str">
        <f t="shared" ca="1" si="46"/>
        <v>No</v>
      </c>
      <c r="G599" s="2" t="str">
        <f t="shared" si="47"/>
        <v>Jun-2024</v>
      </c>
      <c r="H599" s="2">
        <v>45399</v>
      </c>
      <c r="I599">
        <v>11</v>
      </c>
      <c r="J599" t="s">
        <v>23</v>
      </c>
      <c r="K599">
        <v>2</v>
      </c>
      <c r="L599" t="s">
        <v>46</v>
      </c>
      <c r="M599" s="9">
        <v>23101</v>
      </c>
      <c r="N599" t="s">
        <v>67</v>
      </c>
      <c r="O599" t="s">
        <v>54</v>
      </c>
      <c r="P599" t="s">
        <v>27</v>
      </c>
      <c r="Q599" s="2">
        <v>45326</v>
      </c>
      <c r="R599" s="13">
        <f t="shared" si="48"/>
        <v>42600.000000003492</v>
      </c>
      <c r="S599" s="13">
        <f t="shared" si="49"/>
        <v>884.81389578174173</v>
      </c>
      <c r="T599" s="2">
        <v>45355.583333333336</v>
      </c>
      <c r="U599" t="s">
        <v>28</v>
      </c>
      <c r="V599" t="s">
        <v>29</v>
      </c>
      <c r="W599" t="s">
        <v>43</v>
      </c>
      <c r="X599">
        <v>7</v>
      </c>
      <c r="Y599">
        <v>8</v>
      </c>
      <c r="Z599" t="s">
        <v>48</v>
      </c>
    </row>
    <row r="600" spans="1:26">
      <c r="A600" t="s">
        <v>657</v>
      </c>
      <c r="B600">
        <v>39</v>
      </c>
      <c r="C600" t="str">
        <f t="shared" si="45"/>
        <v>36-50</v>
      </c>
      <c r="D600" t="s">
        <v>22</v>
      </c>
      <c r="E600" s="2">
        <v>45116</v>
      </c>
      <c r="F600" s="2" t="str">
        <f t="shared" ca="1" si="46"/>
        <v>No</v>
      </c>
      <c r="G600" s="2" t="str">
        <f t="shared" si="47"/>
        <v>Jul-2023</v>
      </c>
      <c r="H600" s="2">
        <v>45183</v>
      </c>
      <c r="I600">
        <v>7</v>
      </c>
      <c r="J600" t="s">
        <v>34</v>
      </c>
      <c r="K600">
        <v>1</v>
      </c>
      <c r="L600" t="s">
        <v>24</v>
      </c>
      <c r="M600" s="9">
        <v>26692</v>
      </c>
      <c r="N600" t="s">
        <v>67</v>
      </c>
      <c r="O600" t="s">
        <v>54</v>
      </c>
      <c r="P600" t="s">
        <v>27</v>
      </c>
      <c r="Q600" s="2">
        <v>44966</v>
      </c>
      <c r="R600" s="13">
        <f t="shared" si="48"/>
        <v>900</v>
      </c>
      <c r="S600" s="13">
        <f t="shared" si="49"/>
        <v>781.04477611949858</v>
      </c>
      <c r="T600" s="2">
        <v>44966.625</v>
      </c>
      <c r="U600" t="s">
        <v>64</v>
      </c>
      <c r="V600" t="s">
        <v>29</v>
      </c>
      <c r="W600" t="s">
        <v>30</v>
      </c>
      <c r="X600">
        <v>6</v>
      </c>
      <c r="Y600">
        <v>10</v>
      </c>
      <c r="Z600" t="s">
        <v>48</v>
      </c>
    </row>
    <row r="601" spans="1:26">
      <c r="A601" t="s">
        <v>658</v>
      </c>
      <c r="B601">
        <v>74</v>
      </c>
      <c r="C601" t="str">
        <f t="shared" si="45"/>
        <v>66+</v>
      </c>
      <c r="D601" t="s">
        <v>22</v>
      </c>
      <c r="E601" s="2">
        <v>45402</v>
      </c>
      <c r="F601" s="2" t="str">
        <f t="shared" ca="1" si="46"/>
        <v>No</v>
      </c>
      <c r="G601" s="2" t="str">
        <f t="shared" si="47"/>
        <v>Apr-2024</v>
      </c>
      <c r="H601" s="2">
        <v>45405</v>
      </c>
      <c r="I601">
        <v>3</v>
      </c>
      <c r="J601" t="s">
        <v>40</v>
      </c>
      <c r="K601">
        <v>1</v>
      </c>
      <c r="L601" t="s">
        <v>46</v>
      </c>
      <c r="M601" s="9">
        <v>12407</v>
      </c>
      <c r="N601" t="s">
        <v>36</v>
      </c>
      <c r="O601" t="s">
        <v>54</v>
      </c>
      <c r="P601" t="s">
        <v>27</v>
      </c>
      <c r="Q601" s="2">
        <v>45400</v>
      </c>
      <c r="R601" s="13">
        <f t="shared" si="48"/>
        <v>2039.9999999965075</v>
      </c>
      <c r="S601" s="13">
        <f t="shared" si="49"/>
        <v>780.74812967590628</v>
      </c>
      <c r="T601" s="2">
        <v>45401.416666666664</v>
      </c>
      <c r="U601" t="s">
        <v>28</v>
      </c>
      <c r="V601" t="s">
        <v>29</v>
      </c>
      <c r="W601" t="s">
        <v>30</v>
      </c>
      <c r="X601">
        <v>8</v>
      </c>
      <c r="Y601">
        <v>10</v>
      </c>
      <c r="Z601" t="s">
        <v>68</v>
      </c>
    </row>
    <row r="602" spans="1:26">
      <c r="A602" t="s">
        <v>659</v>
      </c>
      <c r="B602">
        <v>19</v>
      </c>
      <c r="C602" t="str">
        <f t="shared" si="45"/>
        <v>18-35</v>
      </c>
      <c r="D602" t="s">
        <v>22</v>
      </c>
      <c r="E602" s="2">
        <v>45315</v>
      </c>
      <c r="F602" s="2" t="str">
        <f t="shared" ca="1" si="46"/>
        <v>No</v>
      </c>
      <c r="G602" s="2" t="str">
        <f t="shared" si="47"/>
        <v>Jan-2024</v>
      </c>
      <c r="H602" s="2">
        <v>45353</v>
      </c>
      <c r="I602">
        <v>10</v>
      </c>
      <c r="J602" t="s">
        <v>34</v>
      </c>
      <c r="K602">
        <v>5</v>
      </c>
      <c r="L602" t="s">
        <v>66</v>
      </c>
      <c r="M602" s="9">
        <v>22254</v>
      </c>
      <c r="N602" t="s">
        <v>60</v>
      </c>
      <c r="O602" t="s">
        <v>26</v>
      </c>
      <c r="P602" t="s">
        <v>41</v>
      </c>
      <c r="Q602" s="2">
        <v>45315</v>
      </c>
      <c r="R602" s="13">
        <f t="shared" si="48"/>
        <v>2640.0000000034925</v>
      </c>
      <c r="S602" s="13">
        <f t="shared" si="49"/>
        <v>777.60000000010473</v>
      </c>
      <c r="T602" s="2">
        <v>45316.833333333336</v>
      </c>
      <c r="U602" t="s">
        <v>42</v>
      </c>
      <c r="V602" t="s">
        <v>29</v>
      </c>
      <c r="W602" t="s">
        <v>47</v>
      </c>
      <c r="X602">
        <v>9</v>
      </c>
      <c r="Y602">
        <v>12</v>
      </c>
      <c r="Z602" t="s">
        <v>68</v>
      </c>
    </row>
    <row r="603" spans="1:26">
      <c r="A603" t="s">
        <v>660</v>
      </c>
      <c r="B603">
        <v>39</v>
      </c>
      <c r="C603" t="str">
        <f t="shared" si="45"/>
        <v>36-50</v>
      </c>
      <c r="D603" t="s">
        <v>45</v>
      </c>
      <c r="E603" s="2">
        <v>45242</v>
      </c>
      <c r="F603" s="2" t="str">
        <f t="shared" ca="1" si="46"/>
        <v>No</v>
      </c>
      <c r="G603" s="2" t="str">
        <f t="shared" si="47"/>
        <v>Nov-2023</v>
      </c>
      <c r="H603" s="2">
        <v>45283</v>
      </c>
      <c r="I603">
        <v>12</v>
      </c>
      <c r="J603" t="s">
        <v>23</v>
      </c>
      <c r="K603">
        <v>4</v>
      </c>
      <c r="L603" t="s">
        <v>66</v>
      </c>
      <c r="M603" s="9">
        <v>20234</v>
      </c>
      <c r="N603" t="s">
        <v>36</v>
      </c>
      <c r="O603" t="s">
        <v>54</v>
      </c>
      <c r="P603" t="s">
        <v>41</v>
      </c>
      <c r="Q603" s="2">
        <v>45119</v>
      </c>
      <c r="R603" s="13">
        <f t="shared" si="48"/>
        <v>44940.000000003492</v>
      </c>
      <c r="S603" s="13">
        <f t="shared" si="49"/>
        <v>772.93233082716392</v>
      </c>
      <c r="T603" s="2">
        <v>45150.208333333336</v>
      </c>
      <c r="U603" t="s">
        <v>55</v>
      </c>
      <c r="V603" t="s">
        <v>29</v>
      </c>
      <c r="W603" t="s">
        <v>43</v>
      </c>
      <c r="X603">
        <v>8</v>
      </c>
      <c r="Y603">
        <v>8</v>
      </c>
      <c r="Z603" t="s">
        <v>48</v>
      </c>
    </row>
    <row r="604" spans="1:26">
      <c r="A604" t="s">
        <v>661</v>
      </c>
      <c r="B604">
        <v>67</v>
      </c>
      <c r="C604" t="str">
        <f t="shared" si="45"/>
        <v>66+</v>
      </c>
      <c r="D604" t="s">
        <v>33</v>
      </c>
      <c r="E604" s="2">
        <v>44956</v>
      </c>
      <c r="F604" s="2" t="str">
        <f t="shared" ca="1" si="46"/>
        <v>No</v>
      </c>
      <c r="G604" s="2" t="str">
        <f t="shared" si="47"/>
        <v>Jan-2023</v>
      </c>
      <c r="H604" s="2">
        <v>44928</v>
      </c>
      <c r="I604">
        <v>2</v>
      </c>
      <c r="J604" t="s">
        <v>40</v>
      </c>
      <c r="K604">
        <v>1</v>
      </c>
      <c r="L604" t="s">
        <v>24</v>
      </c>
      <c r="M604" s="9">
        <v>27211</v>
      </c>
      <c r="N604" t="s">
        <v>25</v>
      </c>
      <c r="O604" t="s">
        <v>54</v>
      </c>
      <c r="P604" t="s">
        <v>27</v>
      </c>
      <c r="Q604" s="2">
        <v>44956</v>
      </c>
      <c r="R604" s="13">
        <f t="shared" si="48"/>
        <v>59.99999999650754</v>
      </c>
      <c r="S604" s="13">
        <f t="shared" si="49"/>
        <v>661.95979899506267</v>
      </c>
      <c r="T604" s="2">
        <v>44956.041666666664</v>
      </c>
      <c r="U604" t="s">
        <v>28</v>
      </c>
      <c r="V604" t="s">
        <v>29</v>
      </c>
      <c r="W604" t="s">
        <v>43</v>
      </c>
      <c r="X604">
        <v>9</v>
      </c>
      <c r="Y604">
        <v>8</v>
      </c>
      <c r="Z604" t="s">
        <v>48</v>
      </c>
    </row>
    <row r="605" spans="1:26">
      <c r="A605" t="s">
        <v>662</v>
      </c>
      <c r="B605">
        <v>45</v>
      </c>
      <c r="C605" t="str">
        <f t="shared" si="45"/>
        <v>36-50</v>
      </c>
      <c r="D605" t="s">
        <v>45</v>
      </c>
      <c r="E605" s="2">
        <v>45433</v>
      </c>
      <c r="F605" s="2" t="str">
        <f t="shared" ca="1" si="46"/>
        <v>No</v>
      </c>
      <c r="G605" s="2" t="str">
        <f t="shared" si="47"/>
        <v>May-2024</v>
      </c>
      <c r="H605" s="2">
        <v>45438</v>
      </c>
      <c r="I605">
        <v>5</v>
      </c>
      <c r="J605" t="s">
        <v>40</v>
      </c>
      <c r="K605">
        <v>4</v>
      </c>
      <c r="L605" t="s">
        <v>24</v>
      </c>
      <c r="M605" s="9">
        <v>34480</v>
      </c>
      <c r="N605" t="s">
        <v>67</v>
      </c>
      <c r="O605" t="s">
        <v>54</v>
      </c>
      <c r="P605" t="s">
        <v>41</v>
      </c>
      <c r="Q605" s="2">
        <v>45433</v>
      </c>
      <c r="R605" s="13">
        <f t="shared" si="48"/>
        <v>59.99999999650754</v>
      </c>
      <c r="S605" s="13">
        <f t="shared" si="49"/>
        <v>663.47607052906403</v>
      </c>
      <c r="T605" s="2">
        <v>45433.041666666664</v>
      </c>
      <c r="U605" t="s">
        <v>55</v>
      </c>
      <c r="V605" t="s">
        <v>29</v>
      </c>
      <c r="W605" t="s">
        <v>47</v>
      </c>
      <c r="X605">
        <v>11</v>
      </c>
      <c r="Y605">
        <v>10</v>
      </c>
      <c r="Z605" t="s">
        <v>31</v>
      </c>
    </row>
    <row r="606" spans="1:26">
      <c r="A606" t="s">
        <v>663</v>
      </c>
      <c r="B606">
        <v>13</v>
      </c>
      <c r="C606" t="str">
        <f t="shared" si="45"/>
        <v>0-17</v>
      </c>
      <c r="D606" t="s">
        <v>62</v>
      </c>
      <c r="E606" s="2">
        <v>45259</v>
      </c>
      <c r="F606" s="2" t="str">
        <f t="shared" ca="1" si="46"/>
        <v>No</v>
      </c>
      <c r="G606" s="2" t="str">
        <f t="shared" si="47"/>
        <v>Nov-2023</v>
      </c>
      <c r="H606" s="2">
        <v>45150</v>
      </c>
      <c r="I606">
        <v>9</v>
      </c>
      <c r="J606" t="s">
        <v>63</v>
      </c>
      <c r="K606">
        <v>4</v>
      </c>
      <c r="L606" t="s">
        <v>46</v>
      </c>
      <c r="M606" s="9">
        <v>29846</v>
      </c>
      <c r="N606" t="s">
        <v>36</v>
      </c>
      <c r="O606" t="s">
        <v>54</v>
      </c>
      <c r="P606" t="s">
        <v>27</v>
      </c>
      <c r="Q606" s="2">
        <v>45255</v>
      </c>
      <c r="R606" s="13">
        <f t="shared" si="48"/>
        <v>2700</v>
      </c>
      <c r="S606" s="13">
        <f t="shared" si="49"/>
        <v>665.00000000010584</v>
      </c>
      <c r="T606" s="2">
        <v>45256.875</v>
      </c>
      <c r="U606" t="s">
        <v>42</v>
      </c>
      <c r="V606" t="s">
        <v>29</v>
      </c>
      <c r="W606" t="s">
        <v>30</v>
      </c>
      <c r="X606">
        <v>9</v>
      </c>
      <c r="Y606">
        <v>8</v>
      </c>
      <c r="Z606" t="s">
        <v>68</v>
      </c>
    </row>
    <row r="607" spans="1:26">
      <c r="A607" t="s">
        <v>664</v>
      </c>
      <c r="B607">
        <v>58</v>
      </c>
      <c r="C607" t="str">
        <f t="shared" si="45"/>
        <v>51-65</v>
      </c>
      <c r="D607" t="s">
        <v>22</v>
      </c>
      <c r="E607" s="2">
        <v>45084</v>
      </c>
      <c r="F607" s="2" t="str">
        <f t="shared" ca="1" si="46"/>
        <v>No</v>
      </c>
      <c r="G607" s="2" t="str">
        <f t="shared" si="47"/>
        <v>Jun-2023</v>
      </c>
      <c r="H607" s="2">
        <v>45120</v>
      </c>
      <c r="I607">
        <v>7</v>
      </c>
      <c r="J607" t="s">
        <v>34</v>
      </c>
      <c r="K607">
        <v>5</v>
      </c>
      <c r="L607" t="s">
        <v>71</v>
      </c>
      <c r="M607" s="9">
        <v>47503</v>
      </c>
      <c r="N607" t="s">
        <v>25</v>
      </c>
      <c r="O607" t="s">
        <v>54</v>
      </c>
      <c r="P607" t="s">
        <v>27</v>
      </c>
      <c r="Q607" s="2">
        <v>44964</v>
      </c>
      <c r="R607" s="13">
        <f t="shared" si="48"/>
        <v>1319.9999999965075</v>
      </c>
      <c r="S607" s="13">
        <f t="shared" si="49"/>
        <v>659.8481012659289</v>
      </c>
      <c r="T607" s="2">
        <v>44964.916666666664</v>
      </c>
      <c r="U607" t="s">
        <v>28</v>
      </c>
      <c r="V607" t="s">
        <v>29</v>
      </c>
      <c r="W607" t="s">
        <v>30</v>
      </c>
      <c r="X607">
        <v>10</v>
      </c>
      <c r="Y607">
        <v>12</v>
      </c>
      <c r="Z607" t="s">
        <v>48</v>
      </c>
    </row>
    <row r="608" spans="1:26">
      <c r="A608" t="s">
        <v>665</v>
      </c>
      <c r="B608">
        <v>20</v>
      </c>
      <c r="C608" t="str">
        <f t="shared" si="45"/>
        <v>18-35</v>
      </c>
      <c r="D608" t="s">
        <v>62</v>
      </c>
      <c r="E608" s="2">
        <v>45426</v>
      </c>
      <c r="F608" s="2" t="str">
        <f t="shared" ca="1" si="46"/>
        <v>No</v>
      </c>
      <c r="G608" s="2" t="str">
        <f t="shared" si="47"/>
        <v>May-2024</v>
      </c>
      <c r="H608" s="2">
        <v>45437</v>
      </c>
      <c r="I608">
        <v>11</v>
      </c>
      <c r="J608" t="s">
        <v>63</v>
      </c>
      <c r="K608">
        <v>4</v>
      </c>
      <c r="L608" t="s">
        <v>24</v>
      </c>
      <c r="M608" s="9">
        <v>20321</v>
      </c>
      <c r="N608" t="s">
        <v>36</v>
      </c>
      <c r="O608" t="s">
        <v>54</v>
      </c>
      <c r="P608" t="s">
        <v>27</v>
      </c>
      <c r="Q608" s="2">
        <v>45425</v>
      </c>
      <c r="R608" s="13">
        <f t="shared" si="48"/>
        <v>480.00000000349246</v>
      </c>
      <c r="S608" s="13">
        <f t="shared" si="49"/>
        <v>658.17258883260251</v>
      </c>
      <c r="T608" s="2">
        <v>45425.333333333336</v>
      </c>
      <c r="U608" t="s">
        <v>28</v>
      </c>
      <c r="V608" t="s">
        <v>29</v>
      </c>
      <c r="W608" t="s">
        <v>43</v>
      </c>
      <c r="X608">
        <v>10</v>
      </c>
      <c r="Y608">
        <v>12</v>
      </c>
      <c r="Z608" t="s">
        <v>68</v>
      </c>
    </row>
    <row r="609" spans="1:26">
      <c r="A609" t="s">
        <v>666</v>
      </c>
      <c r="B609">
        <v>72</v>
      </c>
      <c r="C609" t="str">
        <f t="shared" si="45"/>
        <v>66+</v>
      </c>
      <c r="D609" t="s">
        <v>41</v>
      </c>
      <c r="E609" s="2">
        <v>45085</v>
      </c>
      <c r="F609" s="2" t="str">
        <f t="shared" ca="1" si="46"/>
        <v>No</v>
      </c>
      <c r="G609" s="2" t="str">
        <f t="shared" si="47"/>
        <v>Jun-2023</v>
      </c>
      <c r="H609" s="2">
        <v>45157</v>
      </c>
      <c r="I609">
        <v>13</v>
      </c>
      <c r="J609" t="s">
        <v>40</v>
      </c>
      <c r="K609">
        <v>2</v>
      </c>
      <c r="L609" t="s">
        <v>35</v>
      </c>
      <c r="M609" s="9">
        <v>17646</v>
      </c>
      <c r="N609" t="s">
        <v>60</v>
      </c>
      <c r="O609" t="s">
        <v>54</v>
      </c>
      <c r="P609" t="s">
        <v>27</v>
      </c>
      <c r="Q609" s="2">
        <v>44965</v>
      </c>
      <c r="R609" s="13">
        <f t="shared" si="48"/>
        <v>40559.999999996508</v>
      </c>
      <c r="S609" s="13">
        <f t="shared" si="49"/>
        <v>658.62595419857996</v>
      </c>
      <c r="T609" s="2">
        <v>44993.166666666664</v>
      </c>
      <c r="U609" t="s">
        <v>42</v>
      </c>
      <c r="V609" t="s">
        <v>29</v>
      </c>
      <c r="W609" t="s">
        <v>47</v>
      </c>
      <c r="X609">
        <v>8</v>
      </c>
      <c r="Y609">
        <v>8</v>
      </c>
      <c r="Z609" t="s">
        <v>31</v>
      </c>
    </row>
    <row r="610" spans="1:26">
      <c r="A610" t="s">
        <v>667</v>
      </c>
      <c r="B610">
        <v>61</v>
      </c>
      <c r="C610" t="str">
        <f t="shared" si="45"/>
        <v>51-65</v>
      </c>
      <c r="D610" t="s">
        <v>52</v>
      </c>
      <c r="E610" s="2">
        <v>45290</v>
      </c>
      <c r="F610" s="2" t="str">
        <f t="shared" ca="1" si="46"/>
        <v>No</v>
      </c>
      <c r="G610" s="2" t="str">
        <f t="shared" si="47"/>
        <v>Dec-2023</v>
      </c>
      <c r="H610" s="2">
        <v>45413</v>
      </c>
      <c r="I610">
        <v>6</v>
      </c>
      <c r="J610" t="s">
        <v>50</v>
      </c>
      <c r="K610">
        <v>4</v>
      </c>
      <c r="L610" t="s">
        <v>66</v>
      </c>
      <c r="M610" s="9">
        <v>27117</v>
      </c>
      <c r="N610" t="s">
        <v>60</v>
      </c>
      <c r="O610" t="s">
        <v>26</v>
      </c>
      <c r="P610" t="s">
        <v>27</v>
      </c>
      <c r="Q610" s="2">
        <v>45286</v>
      </c>
      <c r="R610" s="13">
        <f t="shared" si="48"/>
        <v>2700</v>
      </c>
      <c r="S610" s="13">
        <f t="shared" si="49"/>
        <v>556.83673469399332</v>
      </c>
      <c r="T610" s="2">
        <v>45287.875</v>
      </c>
      <c r="U610" t="s">
        <v>42</v>
      </c>
      <c r="V610" t="s">
        <v>29</v>
      </c>
      <c r="W610" t="s">
        <v>47</v>
      </c>
      <c r="X610">
        <v>5</v>
      </c>
      <c r="Y610">
        <v>8</v>
      </c>
      <c r="Z610" t="s">
        <v>48</v>
      </c>
    </row>
    <row r="611" spans="1:26">
      <c r="A611" t="s">
        <v>668</v>
      </c>
      <c r="B611">
        <v>39</v>
      </c>
      <c r="C611" t="str">
        <f t="shared" si="45"/>
        <v>36-50</v>
      </c>
      <c r="D611" t="s">
        <v>52</v>
      </c>
      <c r="E611" s="2">
        <v>45191</v>
      </c>
      <c r="F611" s="2" t="str">
        <f t="shared" ca="1" si="46"/>
        <v>No</v>
      </c>
      <c r="G611" s="2" t="str">
        <f t="shared" si="47"/>
        <v>Sep-2023</v>
      </c>
      <c r="H611" s="2">
        <v>45087</v>
      </c>
      <c r="I611">
        <v>14</v>
      </c>
      <c r="J611" t="s">
        <v>40</v>
      </c>
      <c r="K611">
        <v>5</v>
      </c>
      <c r="L611" t="s">
        <v>35</v>
      </c>
      <c r="M611" s="9">
        <v>9893</v>
      </c>
      <c r="N611" t="s">
        <v>60</v>
      </c>
      <c r="O611" t="s">
        <v>54</v>
      </c>
      <c r="P611" t="s">
        <v>27</v>
      </c>
      <c r="Q611" s="2">
        <v>45190</v>
      </c>
      <c r="R611" s="13">
        <f t="shared" si="48"/>
        <v>540</v>
      </c>
      <c r="S611" s="13">
        <f t="shared" si="49"/>
        <v>551.35549872134379</v>
      </c>
      <c r="T611" s="2">
        <v>45190.375</v>
      </c>
      <c r="U611" t="s">
        <v>42</v>
      </c>
      <c r="V611" t="s">
        <v>29</v>
      </c>
      <c r="W611" t="s">
        <v>30</v>
      </c>
      <c r="X611">
        <v>11</v>
      </c>
      <c r="Y611">
        <v>12</v>
      </c>
      <c r="Z611" t="s">
        <v>48</v>
      </c>
    </row>
    <row r="612" spans="1:26">
      <c r="A612" t="s">
        <v>669</v>
      </c>
      <c r="B612">
        <v>1</v>
      </c>
      <c r="C612" t="str">
        <f t="shared" si="45"/>
        <v>0-17</v>
      </c>
      <c r="D612" t="s">
        <v>45</v>
      </c>
      <c r="E612" s="2">
        <v>45275</v>
      </c>
      <c r="F612" s="2" t="str">
        <f t="shared" ca="1" si="46"/>
        <v>No</v>
      </c>
      <c r="G612" s="2" t="str">
        <f t="shared" si="47"/>
        <v>Dec-2023</v>
      </c>
      <c r="H612" s="2">
        <v>45278</v>
      </c>
      <c r="I612">
        <v>3</v>
      </c>
      <c r="J612" t="s">
        <v>63</v>
      </c>
      <c r="K612">
        <v>5</v>
      </c>
      <c r="L612" t="s">
        <v>66</v>
      </c>
      <c r="M612" s="9">
        <v>14476</v>
      </c>
      <c r="N612" t="s">
        <v>60</v>
      </c>
      <c r="O612" t="s">
        <v>26</v>
      </c>
      <c r="P612" t="s">
        <v>27</v>
      </c>
      <c r="Q612" s="2">
        <v>45274</v>
      </c>
      <c r="R612" s="13">
        <f t="shared" si="48"/>
        <v>1859.9999999965075</v>
      </c>
      <c r="S612" s="13">
        <f t="shared" si="49"/>
        <v>551.38461538473177</v>
      </c>
      <c r="T612" s="2">
        <v>45275.291666666664</v>
      </c>
      <c r="U612" t="s">
        <v>55</v>
      </c>
      <c r="V612" t="s">
        <v>29</v>
      </c>
      <c r="W612" t="s">
        <v>30</v>
      </c>
      <c r="X612">
        <v>7</v>
      </c>
      <c r="Y612">
        <v>8</v>
      </c>
      <c r="Z612" t="s">
        <v>48</v>
      </c>
    </row>
    <row r="613" spans="1:26">
      <c r="A613" t="s">
        <v>670</v>
      </c>
      <c r="B613">
        <v>3</v>
      </c>
      <c r="C613" t="str">
        <f t="shared" si="45"/>
        <v>0-17</v>
      </c>
      <c r="D613" t="s">
        <v>33</v>
      </c>
      <c r="E613" s="2">
        <v>45213</v>
      </c>
      <c r="F613" s="2" t="str">
        <f t="shared" ca="1" si="46"/>
        <v>No</v>
      </c>
      <c r="G613" s="2" t="str">
        <f t="shared" si="47"/>
        <v>Oct-2023</v>
      </c>
      <c r="H613" s="2">
        <v>45224</v>
      </c>
      <c r="I613">
        <v>11</v>
      </c>
      <c r="J613" t="s">
        <v>34</v>
      </c>
      <c r="K613">
        <v>5</v>
      </c>
      <c r="L613" t="s">
        <v>66</v>
      </c>
      <c r="M613" s="9">
        <v>22270</v>
      </c>
      <c r="N613" t="s">
        <v>53</v>
      </c>
      <c r="O613" t="s">
        <v>54</v>
      </c>
      <c r="P613" t="s">
        <v>27</v>
      </c>
      <c r="Q613" s="2">
        <v>45270</v>
      </c>
      <c r="R613" s="13">
        <f t="shared" si="48"/>
        <v>300.00000000349246</v>
      </c>
      <c r="S613" s="13">
        <f t="shared" si="49"/>
        <v>548.02056555282491</v>
      </c>
      <c r="T613" s="2">
        <v>45270.208333333336</v>
      </c>
      <c r="U613" t="s">
        <v>42</v>
      </c>
      <c r="V613" t="s">
        <v>38</v>
      </c>
      <c r="W613" t="s">
        <v>47</v>
      </c>
      <c r="X613">
        <v>10</v>
      </c>
      <c r="Y613">
        <v>10</v>
      </c>
      <c r="Z613" t="s">
        <v>68</v>
      </c>
    </row>
    <row r="614" spans="1:26">
      <c r="A614" t="s">
        <v>671</v>
      </c>
      <c r="B614">
        <v>77</v>
      </c>
      <c r="C614" t="str">
        <f t="shared" si="45"/>
        <v>66+</v>
      </c>
      <c r="D614" t="s">
        <v>62</v>
      </c>
      <c r="E614" s="2">
        <v>45209</v>
      </c>
      <c r="F614" s="2" t="str">
        <f t="shared" ca="1" si="46"/>
        <v>No</v>
      </c>
      <c r="G614" s="2" t="str">
        <f t="shared" si="47"/>
        <v>Oct-2023</v>
      </c>
      <c r="H614" s="2">
        <v>45221</v>
      </c>
      <c r="I614">
        <v>12</v>
      </c>
      <c r="J614" t="s">
        <v>23</v>
      </c>
      <c r="K614">
        <v>1</v>
      </c>
      <c r="L614" t="s">
        <v>24</v>
      </c>
      <c r="M614" s="9">
        <v>26702</v>
      </c>
      <c r="N614" t="s">
        <v>25</v>
      </c>
      <c r="O614" t="s">
        <v>54</v>
      </c>
      <c r="P614" t="s">
        <v>27</v>
      </c>
      <c r="Q614" s="2">
        <v>45087</v>
      </c>
      <c r="R614" s="13">
        <f t="shared" si="48"/>
        <v>900</v>
      </c>
      <c r="S614" s="13">
        <f t="shared" si="49"/>
        <v>548.65979381454997</v>
      </c>
      <c r="T614" s="2">
        <v>45087.625</v>
      </c>
      <c r="U614" t="s">
        <v>55</v>
      </c>
      <c r="V614" t="s">
        <v>29</v>
      </c>
      <c r="W614" t="s">
        <v>43</v>
      </c>
      <c r="X614">
        <v>11</v>
      </c>
      <c r="Y614">
        <v>8</v>
      </c>
      <c r="Z614" t="s">
        <v>31</v>
      </c>
    </row>
    <row r="615" spans="1:26">
      <c r="A615" t="s">
        <v>672</v>
      </c>
      <c r="B615">
        <v>62</v>
      </c>
      <c r="C615" t="str">
        <f t="shared" si="45"/>
        <v>51-65</v>
      </c>
      <c r="D615" t="s">
        <v>33</v>
      </c>
      <c r="E615" s="2">
        <v>45231</v>
      </c>
      <c r="F615" s="2" t="str">
        <f t="shared" ca="1" si="46"/>
        <v>No</v>
      </c>
      <c r="G615" s="2" t="str">
        <f t="shared" si="47"/>
        <v>Nov-2023</v>
      </c>
      <c r="H615" s="2">
        <v>44951</v>
      </c>
      <c r="I615">
        <v>14</v>
      </c>
      <c r="J615" t="s">
        <v>23</v>
      </c>
      <c r="K615">
        <v>2</v>
      </c>
      <c r="L615" t="s">
        <v>24</v>
      </c>
      <c r="M615" s="9">
        <v>9382</v>
      </c>
      <c r="N615" t="s">
        <v>25</v>
      </c>
      <c r="O615" t="s">
        <v>26</v>
      </c>
      <c r="P615" t="s">
        <v>27</v>
      </c>
      <c r="Q615" s="2">
        <v>45139</v>
      </c>
      <c r="R615" s="13">
        <f t="shared" si="48"/>
        <v>44699.999999996508</v>
      </c>
      <c r="S615" s="13">
        <f t="shared" si="49"/>
        <v>547.75193798461339</v>
      </c>
      <c r="T615" s="2">
        <v>45170.041666666664</v>
      </c>
      <c r="U615" t="s">
        <v>64</v>
      </c>
      <c r="V615" t="s">
        <v>29</v>
      </c>
      <c r="W615" t="s">
        <v>30</v>
      </c>
      <c r="X615">
        <v>10</v>
      </c>
      <c r="Y615">
        <v>10</v>
      </c>
      <c r="Z615" t="s">
        <v>68</v>
      </c>
    </row>
    <row r="616" spans="1:26">
      <c r="A616" t="s">
        <v>673</v>
      </c>
      <c r="B616">
        <v>63</v>
      </c>
      <c r="C616" t="str">
        <f t="shared" si="45"/>
        <v>51-65</v>
      </c>
      <c r="D616" t="s">
        <v>45</v>
      </c>
      <c r="E616" s="2">
        <v>45456</v>
      </c>
      <c r="F616" s="2" t="str">
        <f t="shared" ca="1" si="46"/>
        <v>No</v>
      </c>
      <c r="G616" s="2" t="str">
        <f t="shared" si="47"/>
        <v>Jun-2024</v>
      </c>
      <c r="H616" s="2">
        <v>45468</v>
      </c>
      <c r="I616">
        <v>12</v>
      </c>
      <c r="J616" t="s">
        <v>34</v>
      </c>
      <c r="K616">
        <v>1</v>
      </c>
      <c r="L616" t="s">
        <v>35</v>
      </c>
      <c r="M616" s="9">
        <v>6785</v>
      </c>
      <c r="N616" t="s">
        <v>60</v>
      </c>
      <c r="O616" t="s">
        <v>26</v>
      </c>
      <c r="P616" t="s">
        <v>27</v>
      </c>
      <c r="Q616" s="2">
        <v>45456</v>
      </c>
      <c r="R616" s="13">
        <f t="shared" si="48"/>
        <v>360</v>
      </c>
      <c r="S616" s="13">
        <f t="shared" si="49"/>
        <v>433.36787564779507</v>
      </c>
      <c r="T616" s="2">
        <v>45456.25</v>
      </c>
      <c r="U616" t="s">
        <v>28</v>
      </c>
      <c r="V616" t="s">
        <v>29</v>
      </c>
      <c r="W616" t="s">
        <v>47</v>
      </c>
      <c r="X616">
        <v>10</v>
      </c>
      <c r="Y616">
        <v>8</v>
      </c>
      <c r="Z616" t="s">
        <v>48</v>
      </c>
    </row>
    <row r="617" spans="1:26">
      <c r="A617" t="s">
        <v>674</v>
      </c>
      <c r="B617">
        <v>25</v>
      </c>
      <c r="C617" t="str">
        <f t="shared" si="45"/>
        <v>18-35</v>
      </c>
      <c r="D617" t="s">
        <v>52</v>
      </c>
      <c r="E617" s="2">
        <v>45122</v>
      </c>
      <c r="F617" s="2" t="str">
        <f t="shared" ca="1" si="46"/>
        <v>No</v>
      </c>
      <c r="G617" s="2" t="str">
        <f t="shared" si="47"/>
        <v>Jul-2023</v>
      </c>
      <c r="H617" s="2">
        <v>45133</v>
      </c>
      <c r="I617">
        <v>11</v>
      </c>
      <c r="J617" t="s">
        <v>23</v>
      </c>
      <c r="K617">
        <v>3</v>
      </c>
      <c r="L617" t="s">
        <v>66</v>
      </c>
      <c r="M617" s="9">
        <v>16735</v>
      </c>
      <c r="N617" t="s">
        <v>53</v>
      </c>
      <c r="O617" t="s">
        <v>54</v>
      </c>
      <c r="P617" t="s">
        <v>27</v>
      </c>
      <c r="Q617" s="2">
        <v>45206</v>
      </c>
      <c r="R617" s="13">
        <f t="shared" si="48"/>
        <v>46020.000000003492</v>
      </c>
      <c r="S617" s="13">
        <f t="shared" si="49"/>
        <v>433.55844155856857</v>
      </c>
      <c r="T617" s="2">
        <v>45237.958333333336</v>
      </c>
      <c r="U617" t="s">
        <v>28</v>
      </c>
      <c r="V617" t="s">
        <v>29</v>
      </c>
      <c r="W617" t="s">
        <v>47</v>
      </c>
      <c r="X617">
        <v>6</v>
      </c>
      <c r="Y617">
        <v>8</v>
      </c>
      <c r="Z617" t="s">
        <v>31</v>
      </c>
    </row>
    <row r="618" spans="1:26">
      <c r="A618" t="s">
        <v>675</v>
      </c>
      <c r="B618">
        <v>56</v>
      </c>
      <c r="C618" t="str">
        <f t="shared" si="45"/>
        <v>51-65</v>
      </c>
      <c r="D618" t="s">
        <v>33</v>
      </c>
      <c r="E618" s="2">
        <v>45014</v>
      </c>
      <c r="F618" s="2" t="str">
        <f t="shared" ca="1" si="46"/>
        <v>No</v>
      </c>
      <c r="G618" s="2" t="str">
        <f t="shared" si="47"/>
        <v>Mar-2023</v>
      </c>
      <c r="H618" s="2">
        <v>45029</v>
      </c>
      <c r="I618">
        <v>15</v>
      </c>
      <c r="J618" t="s">
        <v>23</v>
      </c>
      <c r="K618">
        <v>2</v>
      </c>
      <c r="L618" t="s">
        <v>35</v>
      </c>
      <c r="M618" s="9">
        <v>35177</v>
      </c>
      <c r="N618" t="s">
        <v>60</v>
      </c>
      <c r="O618" t="s">
        <v>26</v>
      </c>
      <c r="P618" t="s">
        <v>27</v>
      </c>
      <c r="Q618" s="2">
        <v>45013</v>
      </c>
      <c r="R618" s="13">
        <f t="shared" si="48"/>
        <v>419.99999999650754</v>
      </c>
      <c r="S618" s="13">
        <f t="shared" si="49"/>
        <v>314.84375000011823</v>
      </c>
      <c r="T618" s="2">
        <v>45013.291666666664</v>
      </c>
      <c r="U618" t="s">
        <v>37</v>
      </c>
      <c r="V618" t="s">
        <v>29</v>
      </c>
      <c r="W618" t="s">
        <v>47</v>
      </c>
      <c r="X618">
        <v>8</v>
      </c>
      <c r="Y618">
        <v>12</v>
      </c>
      <c r="Z618" t="s">
        <v>48</v>
      </c>
    </row>
    <row r="619" spans="1:26">
      <c r="A619" t="s">
        <v>676</v>
      </c>
      <c r="B619">
        <v>33</v>
      </c>
      <c r="C619" t="str">
        <f t="shared" si="45"/>
        <v>18-35</v>
      </c>
      <c r="D619" t="s">
        <v>33</v>
      </c>
      <c r="E619" s="2">
        <v>45055</v>
      </c>
      <c r="F619" s="2" t="str">
        <f t="shared" ca="1" si="46"/>
        <v>No</v>
      </c>
      <c r="G619" s="2" t="str">
        <f t="shared" si="47"/>
        <v>May-2023</v>
      </c>
      <c r="H619" s="2">
        <v>45183</v>
      </c>
      <c r="I619">
        <v>9</v>
      </c>
      <c r="J619" t="s">
        <v>63</v>
      </c>
      <c r="K619">
        <v>4</v>
      </c>
      <c r="L619" t="s">
        <v>71</v>
      </c>
      <c r="M619" s="9">
        <v>35712</v>
      </c>
      <c r="N619" t="s">
        <v>53</v>
      </c>
      <c r="O619" t="s">
        <v>26</v>
      </c>
      <c r="P619" t="s">
        <v>27</v>
      </c>
      <c r="Q619" s="2">
        <v>45169</v>
      </c>
      <c r="R619" s="13">
        <f t="shared" si="48"/>
        <v>419.99999999650754</v>
      </c>
      <c r="S619" s="13">
        <f t="shared" si="49"/>
        <v>314.56919060064985</v>
      </c>
      <c r="T619" s="2">
        <v>45169.291666666664</v>
      </c>
      <c r="U619" t="s">
        <v>64</v>
      </c>
      <c r="V619" t="s">
        <v>29</v>
      </c>
      <c r="W619" t="s">
        <v>43</v>
      </c>
      <c r="X619">
        <v>8</v>
      </c>
      <c r="Y619">
        <v>10</v>
      </c>
      <c r="Z619" t="s">
        <v>48</v>
      </c>
    </row>
    <row r="620" spans="1:26">
      <c r="A620" t="s">
        <v>677</v>
      </c>
      <c r="B620">
        <v>38</v>
      </c>
      <c r="C620" t="str">
        <f t="shared" si="45"/>
        <v>36-50</v>
      </c>
      <c r="D620" t="s">
        <v>52</v>
      </c>
      <c r="E620" s="2">
        <v>45343</v>
      </c>
      <c r="F620" s="2" t="str">
        <f t="shared" ca="1" si="46"/>
        <v>No</v>
      </c>
      <c r="G620" s="2" t="str">
        <f t="shared" si="47"/>
        <v>Feb-2024</v>
      </c>
      <c r="H620" s="2">
        <v>45345</v>
      </c>
      <c r="I620">
        <v>2</v>
      </c>
      <c r="J620" t="s">
        <v>34</v>
      </c>
      <c r="K620">
        <v>5</v>
      </c>
      <c r="L620" t="s">
        <v>35</v>
      </c>
      <c r="M620" s="9">
        <v>21679</v>
      </c>
      <c r="N620" t="s">
        <v>60</v>
      </c>
      <c r="O620" t="s">
        <v>26</v>
      </c>
      <c r="P620" t="s">
        <v>27</v>
      </c>
      <c r="Q620" s="2">
        <v>45339</v>
      </c>
      <c r="R620" s="13">
        <f t="shared" si="48"/>
        <v>1260</v>
      </c>
      <c r="S620" s="13">
        <f t="shared" si="49"/>
        <v>314.29319371741462</v>
      </c>
      <c r="T620" s="2">
        <v>45339.875</v>
      </c>
      <c r="U620" t="s">
        <v>42</v>
      </c>
      <c r="V620" t="s">
        <v>38</v>
      </c>
      <c r="W620" t="s">
        <v>30</v>
      </c>
      <c r="X620">
        <v>10</v>
      </c>
      <c r="Y620">
        <v>12</v>
      </c>
      <c r="Z620" t="s">
        <v>68</v>
      </c>
    </row>
    <row r="621" spans="1:26">
      <c r="A621" t="s">
        <v>678</v>
      </c>
      <c r="B621">
        <v>6</v>
      </c>
      <c r="C621" t="str">
        <f t="shared" si="45"/>
        <v>0-17</v>
      </c>
      <c r="D621" t="s">
        <v>62</v>
      </c>
      <c r="E621" s="2">
        <v>45427</v>
      </c>
      <c r="F621" s="2" t="str">
        <f t="shared" ca="1" si="46"/>
        <v>No</v>
      </c>
      <c r="G621" s="2" t="str">
        <f t="shared" si="47"/>
        <v>May-2024</v>
      </c>
      <c r="H621" s="2">
        <v>45438</v>
      </c>
      <c r="I621">
        <v>11</v>
      </c>
      <c r="J621" t="s">
        <v>57</v>
      </c>
      <c r="K621">
        <v>3</v>
      </c>
      <c r="L621" t="s">
        <v>46</v>
      </c>
      <c r="M621" s="9">
        <v>48013</v>
      </c>
      <c r="N621" t="s">
        <v>67</v>
      </c>
      <c r="O621" t="s">
        <v>54</v>
      </c>
      <c r="P621" t="s">
        <v>27</v>
      </c>
      <c r="Q621" s="2">
        <v>45631</v>
      </c>
      <c r="R621" s="13">
        <f t="shared" si="48"/>
        <v>-296640</v>
      </c>
      <c r="S621" s="13">
        <f t="shared" si="49"/>
        <v>311.81102362218473</v>
      </c>
      <c r="T621" s="2">
        <v>45425</v>
      </c>
      <c r="U621" t="s">
        <v>42</v>
      </c>
      <c r="V621" t="s">
        <v>29</v>
      </c>
      <c r="W621" t="s">
        <v>30</v>
      </c>
      <c r="X621">
        <v>6</v>
      </c>
      <c r="Y621">
        <v>8</v>
      </c>
      <c r="Z621" t="s">
        <v>48</v>
      </c>
    </row>
    <row r="622" spans="1:26">
      <c r="A622" t="s">
        <v>679</v>
      </c>
      <c r="B622">
        <v>58</v>
      </c>
      <c r="C622" t="str">
        <f t="shared" si="45"/>
        <v>51-65</v>
      </c>
      <c r="D622" t="s">
        <v>52</v>
      </c>
      <c r="E622" s="2">
        <v>45025</v>
      </c>
      <c r="F622" s="2" t="str">
        <f t="shared" ca="1" si="46"/>
        <v>No</v>
      </c>
      <c r="G622" s="2" t="str">
        <f t="shared" si="47"/>
        <v>Apr-2023</v>
      </c>
      <c r="H622" s="2">
        <v>45184</v>
      </c>
      <c r="I622">
        <v>11</v>
      </c>
      <c r="J622" t="s">
        <v>50</v>
      </c>
      <c r="K622">
        <v>2</v>
      </c>
      <c r="L622" t="s">
        <v>35</v>
      </c>
      <c r="M622" s="9">
        <v>40365</v>
      </c>
      <c r="N622" t="s">
        <v>67</v>
      </c>
      <c r="O622" t="s">
        <v>54</v>
      </c>
      <c r="P622" t="s">
        <v>27</v>
      </c>
      <c r="Q622" s="2">
        <v>45025</v>
      </c>
      <c r="R622" s="13">
        <f t="shared" si="48"/>
        <v>1200.0000000034925</v>
      </c>
      <c r="S622" s="13">
        <f t="shared" si="49"/>
        <v>1093.2631578948747</v>
      </c>
      <c r="T622" s="2">
        <v>45025.833333333336</v>
      </c>
      <c r="U622" t="s">
        <v>64</v>
      </c>
      <c r="V622" t="s">
        <v>29</v>
      </c>
      <c r="W622" t="s">
        <v>30</v>
      </c>
      <c r="X622">
        <v>10</v>
      </c>
      <c r="Y622">
        <v>12</v>
      </c>
      <c r="Z622" t="s">
        <v>31</v>
      </c>
    </row>
    <row r="623" spans="1:26">
      <c r="A623" t="s">
        <v>680</v>
      </c>
      <c r="B623">
        <v>44</v>
      </c>
      <c r="C623" t="str">
        <f t="shared" si="45"/>
        <v>36-50</v>
      </c>
      <c r="D623" t="s">
        <v>33</v>
      </c>
      <c r="E623" s="2">
        <v>45327</v>
      </c>
      <c r="F623" s="2" t="str">
        <f t="shared" ca="1" si="46"/>
        <v>No</v>
      </c>
      <c r="G623" s="2" t="str">
        <f t="shared" si="47"/>
        <v>Feb-2024</v>
      </c>
      <c r="H623" s="2">
        <v>45540</v>
      </c>
      <c r="I623">
        <v>7</v>
      </c>
      <c r="J623" t="s">
        <v>50</v>
      </c>
      <c r="K623">
        <v>1</v>
      </c>
      <c r="L623" t="s">
        <v>46</v>
      </c>
      <c r="M623" s="9">
        <v>22064</v>
      </c>
      <c r="N623" t="s">
        <v>36</v>
      </c>
      <c r="O623" t="s">
        <v>54</v>
      </c>
      <c r="P623" t="s">
        <v>27</v>
      </c>
      <c r="Q623" s="2">
        <v>45410</v>
      </c>
      <c r="R623" s="13">
        <f t="shared" si="48"/>
        <v>540</v>
      </c>
      <c r="S623" s="13">
        <f t="shared" si="49"/>
        <v>1092.9815303431369</v>
      </c>
      <c r="T623" s="2">
        <v>45410.375</v>
      </c>
      <c r="U623" t="s">
        <v>42</v>
      </c>
      <c r="V623" t="s">
        <v>29</v>
      </c>
      <c r="W623" t="s">
        <v>43</v>
      </c>
      <c r="X623">
        <v>7</v>
      </c>
      <c r="Y623">
        <v>8</v>
      </c>
      <c r="Z623" t="s">
        <v>48</v>
      </c>
    </row>
    <row r="624" spans="1:26">
      <c r="A624" t="s">
        <v>681</v>
      </c>
      <c r="B624">
        <v>45</v>
      </c>
      <c r="C624" t="str">
        <f t="shared" si="45"/>
        <v>36-50</v>
      </c>
      <c r="D624" t="s">
        <v>62</v>
      </c>
      <c r="E624" s="2">
        <v>45429</v>
      </c>
      <c r="F624" s="2" t="str">
        <f t="shared" ca="1" si="46"/>
        <v>No</v>
      </c>
      <c r="G624" s="2" t="str">
        <f t="shared" si="47"/>
        <v>May-2024</v>
      </c>
      <c r="H624" s="2">
        <v>45438</v>
      </c>
      <c r="I624">
        <v>9</v>
      </c>
      <c r="J624" t="s">
        <v>23</v>
      </c>
      <c r="K624">
        <v>5</v>
      </c>
      <c r="L624" t="s">
        <v>46</v>
      </c>
      <c r="M624" s="9">
        <v>35563</v>
      </c>
      <c r="N624" t="s">
        <v>60</v>
      </c>
      <c r="O624" t="s">
        <v>26</v>
      </c>
      <c r="P624" t="s">
        <v>27</v>
      </c>
      <c r="Q624" s="2">
        <v>45426</v>
      </c>
      <c r="R624" s="13">
        <f t="shared" si="48"/>
        <v>1499.9999999965075</v>
      </c>
      <c r="S624" s="13">
        <f t="shared" si="49"/>
        <v>1094.4444444445737</v>
      </c>
      <c r="T624" s="2">
        <v>45427.041666666664</v>
      </c>
      <c r="U624" t="s">
        <v>37</v>
      </c>
      <c r="V624" t="s">
        <v>38</v>
      </c>
      <c r="W624" t="s">
        <v>30</v>
      </c>
      <c r="X624">
        <v>6</v>
      </c>
      <c r="Y624">
        <v>8</v>
      </c>
      <c r="Z624" t="s">
        <v>48</v>
      </c>
    </row>
    <row r="625" spans="1:26">
      <c r="A625" t="s">
        <v>682</v>
      </c>
      <c r="B625">
        <v>32</v>
      </c>
      <c r="C625" t="str">
        <f t="shared" si="45"/>
        <v>18-35</v>
      </c>
      <c r="D625" t="s">
        <v>62</v>
      </c>
      <c r="E625" s="2">
        <v>45355</v>
      </c>
      <c r="F625" s="2" t="str">
        <f t="shared" ca="1" si="46"/>
        <v>No</v>
      </c>
      <c r="G625" s="2" t="str">
        <f t="shared" si="47"/>
        <v>Mar-2024</v>
      </c>
      <c r="H625" s="2">
        <v>45539</v>
      </c>
      <c r="I625">
        <v>6</v>
      </c>
      <c r="J625" t="s">
        <v>50</v>
      </c>
      <c r="K625">
        <v>1</v>
      </c>
      <c r="L625" t="s">
        <v>46</v>
      </c>
      <c r="M625" s="9">
        <v>38092</v>
      </c>
      <c r="N625" t="s">
        <v>25</v>
      </c>
      <c r="O625" t="s">
        <v>54</v>
      </c>
      <c r="P625" t="s">
        <v>27</v>
      </c>
      <c r="Q625" s="2">
        <v>45355</v>
      </c>
      <c r="R625" s="13">
        <f t="shared" si="48"/>
        <v>540</v>
      </c>
      <c r="S625" s="13">
        <f t="shared" si="49"/>
        <v>1093.368700265391</v>
      </c>
      <c r="T625" s="2">
        <v>45355.375</v>
      </c>
      <c r="U625" t="s">
        <v>55</v>
      </c>
      <c r="V625" t="s">
        <v>29</v>
      </c>
      <c r="W625" t="s">
        <v>30</v>
      </c>
      <c r="X625">
        <v>10</v>
      </c>
      <c r="Y625">
        <v>8</v>
      </c>
      <c r="Z625" t="s">
        <v>68</v>
      </c>
    </row>
    <row r="626" spans="1:26">
      <c r="A626" t="s">
        <v>683</v>
      </c>
      <c r="B626">
        <v>45</v>
      </c>
      <c r="C626" t="str">
        <f t="shared" si="45"/>
        <v>36-50</v>
      </c>
      <c r="D626" t="s">
        <v>52</v>
      </c>
      <c r="E626" s="2">
        <v>44944</v>
      </c>
      <c r="F626" s="2" t="str">
        <f t="shared" ca="1" si="46"/>
        <v>No</v>
      </c>
      <c r="G626" s="2" t="str">
        <f t="shared" si="47"/>
        <v>Jan-2023</v>
      </c>
      <c r="H626" s="2">
        <v>44945</v>
      </c>
      <c r="I626">
        <v>1</v>
      </c>
      <c r="J626" t="s">
        <v>34</v>
      </c>
      <c r="K626">
        <v>2</v>
      </c>
      <c r="L626" t="s">
        <v>71</v>
      </c>
      <c r="M626" s="9">
        <v>31867</v>
      </c>
      <c r="N626" t="s">
        <v>36</v>
      </c>
      <c r="O626" t="s">
        <v>26</v>
      </c>
      <c r="P626" t="s">
        <v>27</v>
      </c>
      <c r="Q626" s="2">
        <v>44941</v>
      </c>
      <c r="R626" s="13">
        <f t="shared" si="48"/>
        <v>2520</v>
      </c>
      <c r="S626" s="13">
        <f t="shared" si="49"/>
        <v>1094.8404255320543</v>
      </c>
      <c r="T626" s="2">
        <v>44942.75</v>
      </c>
      <c r="U626" t="s">
        <v>28</v>
      </c>
      <c r="V626" t="s">
        <v>29</v>
      </c>
      <c r="W626" t="s">
        <v>30</v>
      </c>
      <c r="X626">
        <v>9</v>
      </c>
      <c r="Y626">
        <v>10</v>
      </c>
      <c r="Z626" t="s">
        <v>31</v>
      </c>
    </row>
    <row r="627" spans="1:26">
      <c r="A627" t="s">
        <v>684</v>
      </c>
      <c r="B627">
        <v>61</v>
      </c>
      <c r="C627" t="str">
        <f t="shared" si="45"/>
        <v>51-65</v>
      </c>
      <c r="D627" t="s">
        <v>33</v>
      </c>
      <c r="E627" s="2">
        <v>45081</v>
      </c>
      <c r="F627" s="2" t="str">
        <f t="shared" ca="1" si="46"/>
        <v>No</v>
      </c>
      <c r="G627" s="2" t="str">
        <f t="shared" si="47"/>
        <v>Jun-2023</v>
      </c>
      <c r="H627" s="2">
        <v>45264</v>
      </c>
      <c r="I627">
        <v>6</v>
      </c>
      <c r="J627" t="s">
        <v>34</v>
      </c>
      <c r="K627">
        <v>2</v>
      </c>
      <c r="L627" t="s">
        <v>35</v>
      </c>
      <c r="M627" s="9">
        <v>38754</v>
      </c>
      <c r="N627" t="s">
        <v>67</v>
      </c>
      <c r="O627" t="s">
        <v>54</v>
      </c>
      <c r="P627" t="s">
        <v>27</v>
      </c>
      <c r="Q627" s="2">
        <v>45050</v>
      </c>
      <c r="R627" s="13">
        <f t="shared" si="48"/>
        <v>45840.000000003492</v>
      </c>
      <c r="S627" s="13">
        <f t="shared" si="49"/>
        <v>1091.0400000001398</v>
      </c>
      <c r="T627" s="2">
        <v>45081.833333333336</v>
      </c>
      <c r="U627" t="s">
        <v>64</v>
      </c>
      <c r="V627" t="s">
        <v>29</v>
      </c>
      <c r="W627" t="s">
        <v>30</v>
      </c>
      <c r="X627">
        <v>5</v>
      </c>
      <c r="Y627">
        <v>10</v>
      </c>
      <c r="Z627" t="s">
        <v>68</v>
      </c>
    </row>
    <row r="628" spans="1:26">
      <c r="A628" t="s">
        <v>685</v>
      </c>
      <c r="B628">
        <v>47</v>
      </c>
      <c r="C628" t="str">
        <f t="shared" si="45"/>
        <v>36-50</v>
      </c>
      <c r="D628" t="s">
        <v>45</v>
      </c>
      <c r="E628" s="2">
        <v>45228</v>
      </c>
      <c r="F628" s="2" t="str">
        <f t="shared" ca="1" si="46"/>
        <v>No</v>
      </c>
      <c r="G628" s="2" t="str">
        <f t="shared" si="47"/>
        <v>Oct-2023</v>
      </c>
      <c r="H628" s="2">
        <v>44996</v>
      </c>
      <c r="I628">
        <v>5</v>
      </c>
      <c r="J628" t="s">
        <v>40</v>
      </c>
      <c r="K628">
        <v>3</v>
      </c>
      <c r="L628" t="s">
        <v>35</v>
      </c>
      <c r="M628" s="9">
        <v>24502</v>
      </c>
      <c r="N628" t="s">
        <v>60</v>
      </c>
      <c r="O628" t="s">
        <v>54</v>
      </c>
      <c r="P628" t="s">
        <v>27</v>
      </c>
      <c r="Q628" s="2">
        <v>45224</v>
      </c>
      <c r="R628" s="13">
        <f t="shared" si="48"/>
        <v>599.99999999650754</v>
      </c>
      <c r="S628" s="13">
        <f t="shared" si="49"/>
        <v>971.39037433168153</v>
      </c>
      <c r="T628" s="2">
        <v>45224.416666666664</v>
      </c>
      <c r="U628" t="s">
        <v>28</v>
      </c>
      <c r="V628" t="s">
        <v>29</v>
      </c>
      <c r="W628" t="s">
        <v>43</v>
      </c>
      <c r="X628">
        <v>9</v>
      </c>
      <c r="Y628">
        <v>10</v>
      </c>
      <c r="Z628" t="s">
        <v>48</v>
      </c>
    </row>
    <row r="629" spans="1:26">
      <c r="A629" t="s">
        <v>686</v>
      </c>
      <c r="B629">
        <v>21</v>
      </c>
      <c r="C629" t="str">
        <f t="shared" si="45"/>
        <v>18-35</v>
      </c>
      <c r="D629" t="s">
        <v>33</v>
      </c>
      <c r="E629" s="2">
        <v>45153</v>
      </c>
      <c r="F629" s="2" t="str">
        <f t="shared" ca="1" si="46"/>
        <v>No</v>
      </c>
      <c r="G629" s="2" t="str">
        <f t="shared" si="47"/>
        <v>Aug-2023</v>
      </c>
      <c r="H629" s="2">
        <v>45156</v>
      </c>
      <c r="I629">
        <v>3</v>
      </c>
      <c r="J629" t="s">
        <v>40</v>
      </c>
      <c r="K629">
        <v>4</v>
      </c>
      <c r="L629" t="s">
        <v>71</v>
      </c>
      <c r="M629" s="9">
        <v>5760</v>
      </c>
      <c r="N629" t="s">
        <v>36</v>
      </c>
      <c r="O629" t="s">
        <v>54</v>
      </c>
      <c r="P629" t="s">
        <v>41</v>
      </c>
      <c r="Q629" s="2">
        <v>45268</v>
      </c>
      <c r="R629" s="13">
        <f t="shared" si="48"/>
        <v>300.00000000349246</v>
      </c>
      <c r="S629" s="13">
        <f t="shared" si="49"/>
        <v>972.38605898137371</v>
      </c>
      <c r="T629" s="2">
        <v>45268.208333333336</v>
      </c>
      <c r="U629" t="s">
        <v>55</v>
      </c>
      <c r="V629" t="s">
        <v>29</v>
      </c>
      <c r="W629" t="s">
        <v>47</v>
      </c>
      <c r="X629">
        <v>5</v>
      </c>
      <c r="Y629">
        <v>12</v>
      </c>
      <c r="Z629" t="s">
        <v>68</v>
      </c>
    </row>
    <row r="630" spans="1:26">
      <c r="A630" t="s">
        <v>687</v>
      </c>
      <c r="B630">
        <v>80</v>
      </c>
      <c r="C630" t="str">
        <f t="shared" si="45"/>
        <v>66+</v>
      </c>
      <c r="D630" t="s">
        <v>22</v>
      </c>
      <c r="E630" s="2">
        <v>45341</v>
      </c>
      <c r="F630" s="2" t="str">
        <f t="shared" ca="1" si="46"/>
        <v>No</v>
      </c>
      <c r="G630" s="2" t="str">
        <f t="shared" si="47"/>
        <v>Feb-2024</v>
      </c>
      <c r="H630" s="2">
        <v>45345</v>
      </c>
      <c r="I630">
        <v>4</v>
      </c>
      <c r="J630" t="s">
        <v>50</v>
      </c>
      <c r="K630">
        <v>1</v>
      </c>
      <c r="L630" t="s">
        <v>66</v>
      </c>
      <c r="M630" s="9">
        <v>29142</v>
      </c>
      <c r="N630" t="s">
        <v>60</v>
      </c>
      <c r="O630" t="s">
        <v>26</v>
      </c>
      <c r="P630" t="s">
        <v>27</v>
      </c>
      <c r="Q630" s="2">
        <v>45338</v>
      </c>
      <c r="R630" s="13">
        <f t="shared" si="48"/>
        <v>2039.9999999965075</v>
      </c>
      <c r="S630" s="13">
        <f t="shared" si="49"/>
        <v>974.19354838722825</v>
      </c>
      <c r="T630" s="2">
        <v>45339.416666666664</v>
      </c>
      <c r="U630" t="s">
        <v>64</v>
      </c>
      <c r="V630" t="s">
        <v>29</v>
      </c>
      <c r="W630" t="s">
        <v>47</v>
      </c>
      <c r="X630">
        <v>6</v>
      </c>
      <c r="Y630">
        <v>8</v>
      </c>
      <c r="Z630" t="s">
        <v>68</v>
      </c>
    </row>
    <row r="631" spans="1:26">
      <c r="A631" t="s">
        <v>688</v>
      </c>
      <c r="B631">
        <v>85</v>
      </c>
      <c r="C631" t="str">
        <f t="shared" si="45"/>
        <v>66+</v>
      </c>
      <c r="D631" t="s">
        <v>41</v>
      </c>
      <c r="E631" s="2">
        <v>45116</v>
      </c>
      <c r="F631" s="2" t="str">
        <f t="shared" ca="1" si="46"/>
        <v>No</v>
      </c>
      <c r="G631" s="2" t="str">
        <f t="shared" si="47"/>
        <v>Jul-2023</v>
      </c>
      <c r="H631" s="2">
        <v>45182</v>
      </c>
      <c r="I631">
        <v>6</v>
      </c>
      <c r="J631" t="s">
        <v>57</v>
      </c>
      <c r="K631">
        <v>3</v>
      </c>
      <c r="L631" t="s">
        <v>24</v>
      </c>
      <c r="M631" s="9">
        <v>49653</v>
      </c>
      <c r="N631" t="s">
        <v>67</v>
      </c>
      <c r="O631" t="s">
        <v>54</v>
      </c>
      <c r="P631" t="s">
        <v>27</v>
      </c>
      <c r="Q631" s="2">
        <v>44994</v>
      </c>
      <c r="R631" s="13">
        <f t="shared" si="48"/>
        <v>45419.999999996508</v>
      </c>
      <c r="S631" s="13">
        <f t="shared" si="49"/>
        <v>971.32075471712233</v>
      </c>
      <c r="T631" s="2">
        <v>45025.541666666664</v>
      </c>
      <c r="U631" t="s">
        <v>55</v>
      </c>
      <c r="V631" t="s">
        <v>29</v>
      </c>
      <c r="W631" t="s">
        <v>30</v>
      </c>
      <c r="X631">
        <v>9</v>
      </c>
      <c r="Y631">
        <v>12</v>
      </c>
      <c r="Z631" t="s">
        <v>68</v>
      </c>
    </row>
    <row r="632" spans="1:26">
      <c r="A632" t="s">
        <v>689</v>
      </c>
      <c r="B632">
        <v>75</v>
      </c>
      <c r="C632" t="str">
        <f t="shared" si="45"/>
        <v>66+</v>
      </c>
      <c r="D632" t="s">
        <v>45</v>
      </c>
      <c r="E632" s="2">
        <v>45210</v>
      </c>
      <c r="F632" s="2" t="str">
        <f t="shared" ca="1" si="46"/>
        <v>No</v>
      </c>
      <c r="G632" s="2" t="str">
        <f t="shared" si="47"/>
        <v>Oct-2023</v>
      </c>
      <c r="H632" s="2">
        <v>45253</v>
      </c>
      <c r="I632">
        <v>13</v>
      </c>
      <c r="J632" t="s">
        <v>40</v>
      </c>
      <c r="K632">
        <v>5</v>
      </c>
      <c r="L632" t="s">
        <v>35</v>
      </c>
      <c r="M632" s="9">
        <v>46996</v>
      </c>
      <c r="N632" t="s">
        <v>36</v>
      </c>
      <c r="O632" t="s">
        <v>26</v>
      </c>
      <c r="P632" t="s">
        <v>27</v>
      </c>
      <c r="Q632" s="2">
        <v>45210</v>
      </c>
      <c r="R632" s="13">
        <f t="shared" si="48"/>
        <v>59.99999999650754</v>
      </c>
      <c r="S632" s="13">
        <f t="shared" si="49"/>
        <v>851.18918918934025</v>
      </c>
      <c r="T632" s="2">
        <v>45210.041666666664</v>
      </c>
      <c r="U632" t="s">
        <v>42</v>
      </c>
      <c r="V632" t="s">
        <v>29</v>
      </c>
      <c r="W632" t="s">
        <v>30</v>
      </c>
      <c r="X632">
        <v>7</v>
      </c>
      <c r="Y632">
        <v>12</v>
      </c>
      <c r="Z632" t="s">
        <v>68</v>
      </c>
    </row>
    <row r="633" spans="1:26">
      <c r="A633" t="s">
        <v>690</v>
      </c>
      <c r="B633">
        <v>36</v>
      </c>
      <c r="C633" t="str">
        <f t="shared" si="45"/>
        <v>36-50</v>
      </c>
      <c r="D633" t="s">
        <v>62</v>
      </c>
      <c r="E633" s="2">
        <v>45304</v>
      </c>
      <c r="F633" s="2" t="str">
        <f t="shared" ca="1" si="46"/>
        <v>No</v>
      </c>
      <c r="G633" s="2" t="str">
        <f t="shared" si="47"/>
        <v>Jan-2024</v>
      </c>
      <c r="H633" s="2">
        <v>45312</v>
      </c>
      <c r="I633">
        <v>8</v>
      </c>
      <c r="J633" t="s">
        <v>40</v>
      </c>
      <c r="K633">
        <v>4</v>
      </c>
      <c r="L633" t="s">
        <v>24</v>
      </c>
      <c r="M633" s="9">
        <v>22290</v>
      </c>
      <c r="N633" t="s">
        <v>67</v>
      </c>
      <c r="O633" t="s">
        <v>54</v>
      </c>
      <c r="P633" t="s">
        <v>27</v>
      </c>
      <c r="Q633" s="2">
        <v>45536</v>
      </c>
      <c r="R633" s="13">
        <f t="shared" si="48"/>
        <v>44159.999999996508</v>
      </c>
      <c r="S633" s="13">
        <f t="shared" si="49"/>
        <v>853.33333333349424</v>
      </c>
      <c r="T633" s="2">
        <v>45566.666666666664</v>
      </c>
      <c r="U633" t="s">
        <v>42</v>
      </c>
      <c r="V633" t="s">
        <v>29</v>
      </c>
      <c r="W633" t="s">
        <v>30</v>
      </c>
      <c r="X633">
        <v>11</v>
      </c>
      <c r="Y633">
        <v>8</v>
      </c>
      <c r="Z633" t="s">
        <v>48</v>
      </c>
    </row>
    <row r="634" spans="1:26">
      <c r="A634" t="s">
        <v>691</v>
      </c>
      <c r="B634">
        <v>19</v>
      </c>
      <c r="C634" t="str">
        <f t="shared" si="45"/>
        <v>18-35</v>
      </c>
      <c r="D634" t="s">
        <v>45</v>
      </c>
      <c r="E634" s="2">
        <v>45411</v>
      </c>
      <c r="F634" s="2" t="str">
        <f t="shared" ca="1" si="46"/>
        <v>No</v>
      </c>
      <c r="G634" s="2" t="str">
        <f t="shared" si="47"/>
        <v>Apr-2024</v>
      </c>
      <c r="H634" s="2">
        <v>45356</v>
      </c>
      <c r="I634">
        <v>4</v>
      </c>
      <c r="J634" t="s">
        <v>34</v>
      </c>
      <c r="K634">
        <v>3</v>
      </c>
      <c r="L634" t="s">
        <v>71</v>
      </c>
      <c r="M634" s="9">
        <v>10499</v>
      </c>
      <c r="N634" t="s">
        <v>53</v>
      </c>
      <c r="O634" t="s">
        <v>26</v>
      </c>
      <c r="P634" t="s">
        <v>27</v>
      </c>
      <c r="Q634" s="2">
        <v>45408</v>
      </c>
      <c r="R634" s="13">
        <f t="shared" si="48"/>
        <v>2520</v>
      </c>
      <c r="S634" s="13">
        <f t="shared" si="49"/>
        <v>735.65217391321426</v>
      </c>
      <c r="T634" s="2">
        <v>45409.75</v>
      </c>
      <c r="U634" t="s">
        <v>42</v>
      </c>
      <c r="V634" t="s">
        <v>29</v>
      </c>
      <c r="W634" t="s">
        <v>43</v>
      </c>
      <c r="X634">
        <v>9</v>
      </c>
      <c r="Y634">
        <v>12</v>
      </c>
      <c r="Z634" t="s">
        <v>48</v>
      </c>
    </row>
    <row r="635" spans="1:26">
      <c r="A635" t="s">
        <v>692</v>
      </c>
      <c r="B635">
        <v>20</v>
      </c>
      <c r="C635" t="str">
        <f t="shared" si="45"/>
        <v>18-35</v>
      </c>
      <c r="D635" t="s">
        <v>62</v>
      </c>
      <c r="E635" s="2">
        <v>45279</v>
      </c>
      <c r="F635" s="2" t="str">
        <f t="shared" ca="1" si="46"/>
        <v>No</v>
      </c>
      <c r="G635" s="2" t="str">
        <f t="shared" si="47"/>
        <v>Dec-2023</v>
      </c>
      <c r="H635" s="2">
        <v>45283</v>
      </c>
      <c r="I635">
        <v>4</v>
      </c>
      <c r="J635" t="s">
        <v>57</v>
      </c>
      <c r="K635">
        <v>1</v>
      </c>
      <c r="L635" t="s">
        <v>66</v>
      </c>
      <c r="M635" s="9">
        <v>5364</v>
      </c>
      <c r="N635" t="s">
        <v>67</v>
      </c>
      <c r="O635" t="s">
        <v>26</v>
      </c>
      <c r="P635" t="s">
        <v>27</v>
      </c>
      <c r="Q635" s="2">
        <v>45274</v>
      </c>
      <c r="R635" s="13">
        <f t="shared" si="48"/>
        <v>660.00000000349246</v>
      </c>
      <c r="S635" s="13">
        <f t="shared" si="49"/>
        <v>730.79019073586608</v>
      </c>
      <c r="T635" s="2">
        <v>45274.458333333336</v>
      </c>
      <c r="U635" t="s">
        <v>55</v>
      </c>
      <c r="V635" t="s">
        <v>29</v>
      </c>
      <c r="W635" t="s">
        <v>30</v>
      </c>
      <c r="X635">
        <v>8</v>
      </c>
      <c r="Y635">
        <v>8</v>
      </c>
      <c r="Z635" t="s">
        <v>31</v>
      </c>
    </row>
    <row r="636" spans="1:26">
      <c r="A636" t="s">
        <v>693</v>
      </c>
      <c r="B636">
        <v>57</v>
      </c>
      <c r="C636" t="str">
        <f t="shared" si="45"/>
        <v>51-65</v>
      </c>
      <c r="D636" t="s">
        <v>62</v>
      </c>
      <c r="E636" s="2">
        <v>45599</v>
      </c>
      <c r="F636" s="2" t="str">
        <f t="shared" ca="1" si="46"/>
        <v>No</v>
      </c>
      <c r="G636" s="2" t="str">
        <f t="shared" si="47"/>
        <v>Nov-2024</v>
      </c>
      <c r="H636" s="2">
        <v>45365</v>
      </c>
      <c r="I636">
        <v>3</v>
      </c>
      <c r="J636" t="s">
        <v>23</v>
      </c>
      <c r="K636">
        <v>2</v>
      </c>
      <c r="L636" t="s">
        <v>66</v>
      </c>
      <c r="M636" s="9">
        <v>24797</v>
      </c>
      <c r="N636" t="s">
        <v>60</v>
      </c>
      <c r="O636" t="s">
        <v>26</v>
      </c>
      <c r="P636" t="s">
        <v>41</v>
      </c>
      <c r="Q636" s="2">
        <v>45538</v>
      </c>
      <c r="R636" s="13">
        <f t="shared" si="48"/>
        <v>43500.000000003492</v>
      </c>
      <c r="S636" s="13">
        <f t="shared" si="49"/>
        <v>730.98360655753925</v>
      </c>
      <c r="T636" s="2">
        <v>45568.208333333336</v>
      </c>
      <c r="U636" t="s">
        <v>55</v>
      </c>
      <c r="V636" t="s">
        <v>38</v>
      </c>
      <c r="W636" t="s">
        <v>43</v>
      </c>
      <c r="X636">
        <v>11</v>
      </c>
      <c r="Y636">
        <v>8</v>
      </c>
      <c r="Z636" t="s">
        <v>68</v>
      </c>
    </row>
    <row r="637" spans="1:26">
      <c r="A637" t="s">
        <v>694</v>
      </c>
      <c r="B637">
        <v>18</v>
      </c>
      <c r="C637" t="str">
        <f t="shared" si="45"/>
        <v>18-35</v>
      </c>
      <c r="D637" t="s">
        <v>45</v>
      </c>
      <c r="E637" s="2">
        <v>45058</v>
      </c>
      <c r="F637" s="2" t="str">
        <f t="shared" ca="1" si="46"/>
        <v>No</v>
      </c>
      <c r="G637" s="2" t="str">
        <f t="shared" si="47"/>
        <v>May-2023</v>
      </c>
      <c r="H637" s="2">
        <v>45150</v>
      </c>
      <c r="I637">
        <v>3</v>
      </c>
      <c r="J637" t="s">
        <v>50</v>
      </c>
      <c r="K637">
        <v>5</v>
      </c>
      <c r="L637" t="s">
        <v>66</v>
      </c>
      <c r="M637" s="9">
        <v>45795</v>
      </c>
      <c r="N637" t="s">
        <v>25</v>
      </c>
      <c r="O637" t="s">
        <v>26</v>
      </c>
      <c r="P637" t="s">
        <v>27</v>
      </c>
      <c r="Q637" s="2">
        <v>45260</v>
      </c>
      <c r="R637" s="13">
        <f t="shared" si="48"/>
        <v>1380.0000000034925</v>
      </c>
      <c r="S637" s="13">
        <f t="shared" si="49"/>
        <v>613.80821917823528</v>
      </c>
      <c r="T637" s="2">
        <v>45260.958333333336</v>
      </c>
      <c r="U637" t="s">
        <v>55</v>
      </c>
      <c r="V637" t="s">
        <v>29</v>
      </c>
      <c r="W637" t="s">
        <v>30</v>
      </c>
      <c r="X637">
        <v>11</v>
      </c>
      <c r="Y637">
        <v>8</v>
      </c>
      <c r="Z637" t="s">
        <v>68</v>
      </c>
    </row>
    <row r="638" spans="1:26">
      <c r="A638" t="s">
        <v>695</v>
      </c>
      <c r="B638">
        <v>47</v>
      </c>
      <c r="C638" t="str">
        <f t="shared" si="45"/>
        <v>36-50</v>
      </c>
      <c r="D638" t="s">
        <v>62</v>
      </c>
      <c r="E638" s="2">
        <v>45287</v>
      </c>
      <c r="F638" s="2" t="str">
        <f t="shared" ca="1" si="46"/>
        <v>No</v>
      </c>
      <c r="G638" s="2" t="str">
        <f t="shared" si="47"/>
        <v>Dec-2023</v>
      </c>
      <c r="H638" s="2">
        <v>45289</v>
      </c>
      <c r="I638">
        <v>2</v>
      </c>
      <c r="J638" t="s">
        <v>40</v>
      </c>
      <c r="K638">
        <v>1</v>
      </c>
      <c r="L638" t="s">
        <v>71</v>
      </c>
      <c r="M638" s="9">
        <v>37535</v>
      </c>
      <c r="N638" t="s">
        <v>67</v>
      </c>
      <c r="O638" t="s">
        <v>54</v>
      </c>
      <c r="P638" t="s">
        <v>27</v>
      </c>
      <c r="Q638" s="2">
        <v>45287</v>
      </c>
      <c r="R638" s="13">
        <f t="shared" si="48"/>
        <v>2820.0000000034925</v>
      </c>
      <c r="S638" s="13">
        <f t="shared" si="49"/>
        <v>611.70329670344063</v>
      </c>
      <c r="T638" s="2">
        <v>45288.958333333336</v>
      </c>
      <c r="U638" t="s">
        <v>28</v>
      </c>
      <c r="V638" t="s">
        <v>29</v>
      </c>
      <c r="W638" t="s">
        <v>30</v>
      </c>
      <c r="X638">
        <v>5</v>
      </c>
      <c r="Y638">
        <v>8</v>
      </c>
      <c r="Z638" t="s">
        <v>31</v>
      </c>
    </row>
    <row r="639" spans="1:26">
      <c r="A639" t="s">
        <v>696</v>
      </c>
      <c r="B639">
        <v>49</v>
      </c>
      <c r="C639" t="str">
        <f t="shared" si="45"/>
        <v>36-50</v>
      </c>
      <c r="D639" t="s">
        <v>62</v>
      </c>
      <c r="E639" s="2">
        <v>45539</v>
      </c>
      <c r="F639" s="2" t="str">
        <f t="shared" ca="1" si="46"/>
        <v>No</v>
      </c>
      <c r="G639" s="2" t="str">
        <f t="shared" si="47"/>
        <v>Sep-2024</v>
      </c>
      <c r="H639" s="2">
        <v>45396</v>
      </c>
      <c r="I639">
        <v>5</v>
      </c>
      <c r="J639" t="s">
        <v>57</v>
      </c>
      <c r="K639">
        <v>4</v>
      </c>
      <c r="L639" t="s">
        <v>46</v>
      </c>
      <c r="M639" s="9">
        <v>21105</v>
      </c>
      <c r="N639" t="s">
        <v>25</v>
      </c>
      <c r="O639" t="s">
        <v>54</v>
      </c>
      <c r="P639" t="s">
        <v>41</v>
      </c>
      <c r="Q639" s="2">
        <v>45447</v>
      </c>
      <c r="R639" s="13">
        <f t="shared" si="48"/>
        <v>840.00000000349246</v>
      </c>
      <c r="S639" s="13">
        <f t="shared" si="49"/>
        <v>605.61983471087854</v>
      </c>
      <c r="T639" s="2">
        <v>45447.583333333336</v>
      </c>
      <c r="U639" t="s">
        <v>55</v>
      </c>
      <c r="V639" t="s">
        <v>29</v>
      </c>
      <c r="W639" t="s">
        <v>47</v>
      </c>
      <c r="X639">
        <v>5</v>
      </c>
      <c r="Y639">
        <v>12</v>
      </c>
      <c r="Z639" t="s">
        <v>68</v>
      </c>
    </row>
    <row r="640" spans="1:26">
      <c r="A640" t="s">
        <v>697</v>
      </c>
      <c r="B640">
        <v>14</v>
      </c>
      <c r="C640" t="str">
        <f t="shared" si="45"/>
        <v>0-17</v>
      </c>
      <c r="D640" t="s">
        <v>22</v>
      </c>
      <c r="E640" s="2">
        <v>45056</v>
      </c>
      <c r="F640" s="2" t="str">
        <f t="shared" ca="1" si="46"/>
        <v>No</v>
      </c>
      <c r="G640" s="2" t="str">
        <f t="shared" si="47"/>
        <v>May-2023</v>
      </c>
      <c r="H640" s="2">
        <v>45218</v>
      </c>
      <c r="I640">
        <v>14</v>
      </c>
      <c r="J640" t="s">
        <v>57</v>
      </c>
      <c r="K640">
        <v>4</v>
      </c>
      <c r="L640" t="s">
        <v>46</v>
      </c>
      <c r="M640" s="9">
        <v>12939</v>
      </c>
      <c r="N640" t="s">
        <v>53</v>
      </c>
      <c r="O640" t="s">
        <v>54</v>
      </c>
      <c r="P640" t="s">
        <v>41</v>
      </c>
      <c r="Q640" s="2">
        <v>44995</v>
      </c>
      <c r="R640" s="13">
        <f t="shared" si="48"/>
        <v>45660.000000003492</v>
      </c>
      <c r="S640" s="13">
        <f t="shared" si="49"/>
        <v>604.9723756907332</v>
      </c>
      <c r="T640" s="2">
        <v>45026.708333333336</v>
      </c>
      <c r="U640" t="s">
        <v>42</v>
      </c>
      <c r="V640" t="s">
        <v>29</v>
      </c>
      <c r="W640" t="s">
        <v>30</v>
      </c>
      <c r="X640">
        <v>10</v>
      </c>
      <c r="Y640">
        <v>12</v>
      </c>
      <c r="Z640" t="s">
        <v>31</v>
      </c>
    </row>
    <row r="641" spans="1:26">
      <c r="A641" t="s">
        <v>698</v>
      </c>
      <c r="B641">
        <v>15</v>
      </c>
      <c r="C641" t="str">
        <f t="shared" si="45"/>
        <v>0-17</v>
      </c>
      <c r="D641" t="s">
        <v>33</v>
      </c>
      <c r="E641" s="2">
        <v>45210</v>
      </c>
      <c r="F641" s="2" t="str">
        <f t="shared" ca="1" si="46"/>
        <v>No</v>
      </c>
      <c r="G641" s="2" t="str">
        <f t="shared" si="47"/>
        <v>Oct-2023</v>
      </c>
      <c r="H641" s="2">
        <v>45253</v>
      </c>
      <c r="I641">
        <v>13</v>
      </c>
      <c r="J641" t="s">
        <v>50</v>
      </c>
      <c r="K641">
        <v>2</v>
      </c>
      <c r="L641" t="s">
        <v>24</v>
      </c>
      <c r="M641" s="9">
        <v>18936</v>
      </c>
      <c r="N641" t="s">
        <v>36</v>
      </c>
      <c r="O641" t="s">
        <v>54</v>
      </c>
      <c r="P641" t="s">
        <v>27</v>
      </c>
      <c r="Q641" s="2">
        <v>45210</v>
      </c>
      <c r="R641" s="13">
        <f t="shared" si="48"/>
        <v>87840</v>
      </c>
      <c r="S641" s="13">
        <f t="shared" si="49"/>
        <v>480.16620498626565</v>
      </c>
      <c r="T641" s="2">
        <v>45271</v>
      </c>
      <c r="U641" t="s">
        <v>37</v>
      </c>
      <c r="V641" t="s">
        <v>29</v>
      </c>
      <c r="W641" t="s">
        <v>43</v>
      </c>
      <c r="X641">
        <v>7</v>
      </c>
      <c r="Y641">
        <v>12</v>
      </c>
      <c r="Z641" t="s">
        <v>48</v>
      </c>
    </row>
    <row r="642" spans="1:26">
      <c r="A642" t="s">
        <v>699</v>
      </c>
      <c r="B642">
        <v>31</v>
      </c>
      <c r="C642" t="str">
        <f t="shared" si="45"/>
        <v>18-35</v>
      </c>
      <c r="D642" t="s">
        <v>33</v>
      </c>
      <c r="E642" s="2">
        <v>45184</v>
      </c>
      <c r="F642" s="2" t="str">
        <f t="shared" ca="1" si="46"/>
        <v>No</v>
      </c>
      <c r="G642" s="2" t="str">
        <f t="shared" si="47"/>
        <v>Sep-2023</v>
      </c>
      <c r="H642" s="2">
        <v>45186</v>
      </c>
      <c r="I642">
        <v>2</v>
      </c>
      <c r="J642" t="s">
        <v>57</v>
      </c>
      <c r="K642">
        <v>2</v>
      </c>
      <c r="L642" t="s">
        <v>46</v>
      </c>
      <c r="M642" s="9">
        <v>47029</v>
      </c>
      <c r="N642" t="s">
        <v>36</v>
      </c>
      <c r="O642" t="s">
        <v>26</v>
      </c>
      <c r="P642" t="s">
        <v>27</v>
      </c>
      <c r="Q642" s="2">
        <v>45208</v>
      </c>
      <c r="R642" s="13">
        <f t="shared" si="48"/>
        <v>599.99999999650754</v>
      </c>
      <c r="S642" s="13">
        <f t="shared" si="49"/>
        <v>237.50000000011642</v>
      </c>
      <c r="T642" s="2">
        <v>45208.416666666664</v>
      </c>
      <c r="U642" t="s">
        <v>55</v>
      </c>
      <c r="V642" t="s">
        <v>29</v>
      </c>
      <c r="W642" t="s">
        <v>47</v>
      </c>
      <c r="X642">
        <v>5</v>
      </c>
      <c r="Y642">
        <v>10</v>
      </c>
      <c r="Z642" t="s">
        <v>31</v>
      </c>
    </row>
    <row r="643" spans="1:26">
      <c r="A643" t="s">
        <v>700</v>
      </c>
      <c r="B643">
        <v>1</v>
      </c>
      <c r="C643" t="str">
        <f t="shared" ref="C643:C706" si="50">IF(B643&lt;18,"0-17",IF(B643&lt;=35,"18-35",IF(B643&lt;=50,"36-50",IF(B643&lt;=65,"51-65","66+"))))</f>
        <v>0-17</v>
      </c>
      <c r="D643" t="s">
        <v>41</v>
      </c>
      <c r="E643" s="2">
        <v>45163</v>
      </c>
      <c r="F643" s="2" t="str">
        <f t="shared" ref="F643:F706" ca="1" si="51">IF(E643&gt;=EDATE(TODAY(),-12),"Yes","No")</f>
        <v>No</v>
      </c>
      <c r="G643" s="2" t="str">
        <f t="shared" ref="G643:G706" si="52">TEXT(E643,"mmm-yyyy")</f>
        <v>Aug-2023</v>
      </c>
      <c r="H643" s="2">
        <v>44994</v>
      </c>
      <c r="I643">
        <v>9</v>
      </c>
      <c r="J643" t="s">
        <v>57</v>
      </c>
      <c r="K643">
        <v>5</v>
      </c>
      <c r="L643" t="s">
        <v>46</v>
      </c>
      <c r="M643" s="9">
        <v>20863</v>
      </c>
      <c r="N643" t="s">
        <v>25</v>
      </c>
      <c r="O643" t="s">
        <v>54</v>
      </c>
      <c r="P643" t="s">
        <v>41</v>
      </c>
      <c r="Q643" s="2">
        <v>45162</v>
      </c>
      <c r="R643" s="13">
        <f t="shared" ref="R643:R706" si="53">(T643-Q643)*1440</f>
        <v>1620</v>
      </c>
      <c r="S643" s="13">
        <f t="shared" ref="S643:S706" si="54">AVERAGE(R643:R1141)</f>
        <v>236.49025069650529</v>
      </c>
      <c r="T643" s="2">
        <v>45163.125</v>
      </c>
      <c r="U643" t="s">
        <v>37</v>
      </c>
      <c r="V643" t="s">
        <v>29</v>
      </c>
      <c r="W643" t="s">
        <v>43</v>
      </c>
      <c r="X643">
        <v>5</v>
      </c>
      <c r="Y643">
        <v>12</v>
      </c>
      <c r="Z643" t="s">
        <v>68</v>
      </c>
    </row>
    <row r="644" spans="1:26">
      <c r="A644" t="s">
        <v>701</v>
      </c>
      <c r="B644">
        <v>54</v>
      </c>
      <c r="C644" t="str">
        <f t="shared" si="50"/>
        <v>51-65</v>
      </c>
      <c r="D644" t="s">
        <v>41</v>
      </c>
      <c r="E644" s="2">
        <v>45021</v>
      </c>
      <c r="F644" s="2" t="str">
        <f t="shared" ca="1" si="51"/>
        <v>No</v>
      </c>
      <c r="G644" s="2" t="str">
        <f t="shared" si="52"/>
        <v>Apr-2023</v>
      </c>
      <c r="H644" s="2">
        <v>45063</v>
      </c>
      <c r="I644">
        <v>13</v>
      </c>
      <c r="J644" t="s">
        <v>57</v>
      </c>
      <c r="K644">
        <v>5</v>
      </c>
      <c r="L644" t="s">
        <v>66</v>
      </c>
      <c r="M644" s="9">
        <v>17561</v>
      </c>
      <c r="N644" t="s">
        <v>36</v>
      </c>
      <c r="O644" t="s">
        <v>54</v>
      </c>
      <c r="P644" t="s">
        <v>27</v>
      </c>
      <c r="Q644" s="2">
        <v>45046</v>
      </c>
      <c r="R644" s="13">
        <f t="shared" si="53"/>
        <v>-164640.00000000349</v>
      </c>
      <c r="S644" s="13">
        <f t="shared" si="54"/>
        <v>232.62569832414917</v>
      </c>
      <c r="T644" s="2">
        <v>44931.666666666664</v>
      </c>
      <c r="U644" t="s">
        <v>42</v>
      </c>
      <c r="V644" t="s">
        <v>29</v>
      </c>
      <c r="W644" t="s">
        <v>47</v>
      </c>
      <c r="X644">
        <v>10</v>
      </c>
      <c r="Y644">
        <v>12</v>
      </c>
      <c r="Z644" t="s">
        <v>31</v>
      </c>
    </row>
    <row r="645" spans="1:26">
      <c r="A645" t="s">
        <v>702</v>
      </c>
      <c r="B645">
        <v>3</v>
      </c>
      <c r="C645" t="str">
        <f t="shared" si="50"/>
        <v>0-17</v>
      </c>
      <c r="D645" t="s">
        <v>22</v>
      </c>
      <c r="E645" s="2">
        <v>45124</v>
      </c>
      <c r="F645" s="2" t="str">
        <f t="shared" ca="1" si="51"/>
        <v>No</v>
      </c>
      <c r="G645" s="2" t="str">
        <f t="shared" si="52"/>
        <v>Jul-2023</v>
      </c>
      <c r="H645" s="2">
        <v>45133</v>
      </c>
      <c r="I645">
        <v>9</v>
      </c>
      <c r="J645" t="s">
        <v>40</v>
      </c>
      <c r="K645">
        <v>2</v>
      </c>
      <c r="L645" t="s">
        <v>66</v>
      </c>
      <c r="M645" s="9">
        <v>15447</v>
      </c>
      <c r="N645" t="s">
        <v>67</v>
      </c>
      <c r="O645" t="s">
        <v>54</v>
      </c>
      <c r="P645" t="s">
        <v>27</v>
      </c>
      <c r="Q645" s="2">
        <v>45124</v>
      </c>
      <c r="R645" s="13">
        <f t="shared" si="53"/>
        <v>2640.0000000034925</v>
      </c>
      <c r="S645" s="13">
        <f t="shared" si="54"/>
        <v>694.45378151274201</v>
      </c>
      <c r="T645" s="2">
        <v>45125.833333333336</v>
      </c>
      <c r="U645" t="s">
        <v>55</v>
      </c>
      <c r="V645" t="s">
        <v>29</v>
      </c>
      <c r="W645" t="s">
        <v>43</v>
      </c>
      <c r="X645">
        <v>7</v>
      </c>
      <c r="Y645">
        <v>10</v>
      </c>
      <c r="Z645" t="s">
        <v>48</v>
      </c>
    </row>
    <row r="646" spans="1:26">
      <c r="A646" t="s">
        <v>703</v>
      </c>
      <c r="B646">
        <v>16</v>
      </c>
      <c r="C646" t="str">
        <f t="shared" si="50"/>
        <v>0-17</v>
      </c>
      <c r="D646" t="s">
        <v>41</v>
      </c>
      <c r="E646" s="2">
        <v>45250</v>
      </c>
      <c r="F646" s="2" t="str">
        <f t="shared" ca="1" si="51"/>
        <v>No</v>
      </c>
      <c r="G646" s="2" t="str">
        <f t="shared" si="52"/>
        <v>Nov-2023</v>
      </c>
      <c r="H646" s="2">
        <v>45028</v>
      </c>
      <c r="I646">
        <v>14</v>
      </c>
      <c r="J646" t="s">
        <v>50</v>
      </c>
      <c r="K646">
        <v>2</v>
      </c>
      <c r="L646" t="s">
        <v>24</v>
      </c>
      <c r="M646" s="9">
        <v>35624</v>
      </c>
      <c r="N646" t="s">
        <v>25</v>
      </c>
      <c r="O646" t="s">
        <v>54</v>
      </c>
      <c r="P646" t="s">
        <v>27</v>
      </c>
      <c r="Q646" s="2">
        <v>45250</v>
      </c>
      <c r="R646" s="13">
        <f t="shared" si="53"/>
        <v>1740.0000000034925</v>
      </c>
      <c r="S646" s="13">
        <f t="shared" si="54"/>
        <v>688.98876404507132</v>
      </c>
      <c r="T646" s="2">
        <v>45251.208333333336</v>
      </c>
      <c r="U646" t="s">
        <v>28</v>
      </c>
      <c r="V646" t="s">
        <v>29</v>
      </c>
      <c r="W646" t="s">
        <v>47</v>
      </c>
      <c r="X646">
        <v>9</v>
      </c>
      <c r="Y646">
        <v>8</v>
      </c>
      <c r="Z646" t="s">
        <v>68</v>
      </c>
    </row>
    <row r="647" spans="1:26">
      <c r="A647" t="s">
        <v>704</v>
      </c>
      <c r="B647">
        <v>87</v>
      </c>
      <c r="C647" t="str">
        <f t="shared" si="50"/>
        <v>66+</v>
      </c>
      <c r="D647" t="s">
        <v>45</v>
      </c>
      <c r="E647" s="2">
        <v>44990</v>
      </c>
      <c r="F647" s="2" t="str">
        <f t="shared" ca="1" si="51"/>
        <v>No</v>
      </c>
      <c r="G647" s="2" t="str">
        <f t="shared" si="52"/>
        <v>Mar-2023</v>
      </c>
      <c r="H647" s="2">
        <v>45061</v>
      </c>
      <c r="I647">
        <v>12</v>
      </c>
      <c r="J647" t="s">
        <v>57</v>
      </c>
      <c r="K647">
        <v>4</v>
      </c>
      <c r="L647" t="s">
        <v>35</v>
      </c>
      <c r="M647" s="9">
        <v>49646</v>
      </c>
      <c r="N647" t="s">
        <v>60</v>
      </c>
      <c r="O647" t="s">
        <v>54</v>
      </c>
      <c r="P647" t="s">
        <v>27</v>
      </c>
      <c r="Q647" s="2">
        <v>45046</v>
      </c>
      <c r="R647" s="13">
        <f t="shared" si="53"/>
        <v>840.00000000349246</v>
      </c>
      <c r="S647" s="13">
        <f t="shared" si="54"/>
        <v>686.0281690142026</v>
      </c>
      <c r="T647" s="2">
        <v>45046.583333333336</v>
      </c>
      <c r="U647" t="s">
        <v>28</v>
      </c>
      <c r="V647" t="s">
        <v>29</v>
      </c>
      <c r="W647" t="s">
        <v>43</v>
      </c>
      <c r="X647">
        <v>6</v>
      </c>
      <c r="Y647">
        <v>8</v>
      </c>
      <c r="Z647" t="s">
        <v>48</v>
      </c>
    </row>
    <row r="648" spans="1:26">
      <c r="A648" t="s">
        <v>705</v>
      </c>
      <c r="B648">
        <v>57</v>
      </c>
      <c r="C648" t="str">
        <f t="shared" si="50"/>
        <v>51-65</v>
      </c>
      <c r="D648" t="s">
        <v>52</v>
      </c>
      <c r="E648" s="2">
        <v>45176</v>
      </c>
      <c r="F648" s="2" t="str">
        <f t="shared" ca="1" si="51"/>
        <v>No</v>
      </c>
      <c r="G648" s="2" t="str">
        <f t="shared" si="52"/>
        <v>Sep-2023</v>
      </c>
      <c r="H648" s="2">
        <v>45131</v>
      </c>
      <c r="I648">
        <v>15</v>
      </c>
      <c r="J648" t="s">
        <v>57</v>
      </c>
      <c r="K648">
        <v>2</v>
      </c>
      <c r="L648" t="s">
        <v>24</v>
      </c>
      <c r="M648" s="9">
        <v>17411</v>
      </c>
      <c r="N648" t="s">
        <v>67</v>
      </c>
      <c r="O648" t="s">
        <v>26</v>
      </c>
      <c r="P648" t="s">
        <v>27</v>
      </c>
      <c r="Q648" s="2">
        <v>45114</v>
      </c>
      <c r="R648" s="13">
        <f t="shared" si="53"/>
        <v>360</v>
      </c>
      <c r="S648" s="13">
        <f t="shared" si="54"/>
        <v>685.59322033909154</v>
      </c>
      <c r="T648" s="2">
        <v>45114.25</v>
      </c>
      <c r="U648" t="s">
        <v>37</v>
      </c>
      <c r="V648" t="s">
        <v>29</v>
      </c>
      <c r="W648" t="s">
        <v>43</v>
      </c>
      <c r="X648">
        <v>9</v>
      </c>
      <c r="Y648">
        <v>8</v>
      </c>
      <c r="Z648" t="s">
        <v>48</v>
      </c>
    </row>
    <row r="649" spans="1:26">
      <c r="A649" t="s">
        <v>706</v>
      </c>
      <c r="B649">
        <v>75</v>
      </c>
      <c r="C649" t="str">
        <f t="shared" si="50"/>
        <v>66+</v>
      </c>
      <c r="D649" t="s">
        <v>52</v>
      </c>
      <c r="E649" s="2">
        <v>45123</v>
      </c>
      <c r="F649" s="2" t="str">
        <f t="shared" ca="1" si="51"/>
        <v>No</v>
      </c>
      <c r="G649" s="2" t="str">
        <f t="shared" si="52"/>
        <v>Jul-2023</v>
      </c>
      <c r="H649" s="2">
        <v>45132</v>
      </c>
      <c r="I649">
        <v>9</v>
      </c>
      <c r="J649" t="s">
        <v>40</v>
      </c>
      <c r="K649">
        <v>3</v>
      </c>
      <c r="L649" t="s">
        <v>24</v>
      </c>
      <c r="M649" s="9">
        <v>24465</v>
      </c>
      <c r="N649" t="s">
        <v>67</v>
      </c>
      <c r="O649" t="s">
        <v>54</v>
      </c>
      <c r="P649" t="s">
        <v>27</v>
      </c>
      <c r="Q649" s="2">
        <v>45237</v>
      </c>
      <c r="R649" s="13">
        <f t="shared" si="53"/>
        <v>419.99999999650754</v>
      </c>
      <c r="S649" s="13">
        <f t="shared" si="54"/>
        <v>686.51558073665274</v>
      </c>
      <c r="T649" s="2">
        <v>45237.291666666664</v>
      </c>
      <c r="U649" t="s">
        <v>28</v>
      </c>
      <c r="V649" t="s">
        <v>38</v>
      </c>
      <c r="W649" t="s">
        <v>30</v>
      </c>
      <c r="X649">
        <v>8</v>
      </c>
      <c r="Y649">
        <v>10</v>
      </c>
      <c r="Z649" t="s">
        <v>31</v>
      </c>
    </row>
    <row r="650" spans="1:26">
      <c r="A650" t="s">
        <v>707</v>
      </c>
      <c r="B650">
        <v>12</v>
      </c>
      <c r="C650" t="str">
        <f t="shared" si="50"/>
        <v>0-17</v>
      </c>
      <c r="D650" t="s">
        <v>52</v>
      </c>
      <c r="E650" s="2">
        <v>45207</v>
      </c>
      <c r="F650" s="2" t="str">
        <f t="shared" ca="1" si="51"/>
        <v>No</v>
      </c>
      <c r="G650" s="2" t="str">
        <f t="shared" si="52"/>
        <v>Oct-2023</v>
      </c>
      <c r="H650" s="2">
        <v>45238</v>
      </c>
      <c r="I650">
        <v>1</v>
      </c>
      <c r="J650" t="s">
        <v>50</v>
      </c>
      <c r="K650">
        <v>1</v>
      </c>
      <c r="L650" t="s">
        <v>71</v>
      </c>
      <c r="M650" s="9">
        <v>43216</v>
      </c>
      <c r="N650" t="s">
        <v>67</v>
      </c>
      <c r="O650" t="s">
        <v>54</v>
      </c>
      <c r="P650" t="s">
        <v>27</v>
      </c>
      <c r="Q650" s="2">
        <v>45207</v>
      </c>
      <c r="R650" s="13">
        <f t="shared" si="53"/>
        <v>540</v>
      </c>
      <c r="S650" s="13">
        <f t="shared" si="54"/>
        <v>687.27272727284628</v>
      </c>
      <c r="T650" s="2">
        <v>45207.375</v>
      </c>
      <c r="U650" t="s">
        <v>28</v>
      </c>
      <c r="V650" t="s">
        <v>29</v>
      </c>
      <c r="W650" t="s">
        <v>47</v>
      </c>
      <c r="X650">
        <v>8</v>
      </c>
      <c r="Y650">
        <v>12</v>
      </c>
      <c r="Z650" t="s">
        <v>48</v>
      </c>
    </row>
    <row r="651" spans="1:26">
      <c r="A651" t="s">
        <v>708</v>
      </c>
      <c r="B651">
        <v>74</v>
      </c>
      <c r="C651" t="str">
        <f t="shared" si="50"/>
        <v>66+</v>
      </c>
      <c r="D651" t="s">
        <v>22</v>
      </c>
      <c r="E651" s="2">
        <v>45570</v>
      </c>
      <c r="F651" s="2" t="str">
        <f t="shared" ca="1" si="51"/>
        <v>No</v>
      </c>
      <c r="G651" s="2" t="str">
        <f t="shared" si="52"/>
        <v>Oct-2024</v>
      </c>
      <c r="H651" s="2">
        <v>45433</v>
      </c>
      <c r="I651">
        <v>11</v>
      </c>
      <c r="J651" t="s">
        <v>34</v>
      </c>
      <c r="K651">
        <v>2</v>
      </c>
      <c r="L651" t="s">
        <v>71</v>
      </c>
      <c r="M651" s="9">
        <v>24642</v>
      </c>
      <c r="N651" t="s">
        <v>60</v>
      </c>
      <c r="O651" t="s">
        <v>54</v>
      </c>
      <c r="P651" t="s">
        <v>27</v>
      </c>
      <c r="Q651" s="2">
        <v>45448</v>
      </c>
      <c r="R651" s="13">
        <f t="shared" si="53"/>
        <v>480.00000000349246</v>
      </c>
      <c r="S651" s="13">
        <f t="shared" si="54"/>
        <v>687.69230769242711</v>
      </c>
      <c r="T651" s="2">
        <v>45448.333333333336</v>
      </c>
      <c r="U651" t="s">
        <v>28</v>
      </c>
      <c r="V651" t="s">
        <v>29</v>
      </c>
      <c r="W651" t="s">
        <v>47</v>
      </c>
      <c r="X651">
        <v>5</v>
      </c>
      <c r="Y651">
        <v>12</v>
      </c>
      <c r="Z651" t="s">
        <v>68</v>
      </c>
    </row>
    <row r="652" spans="1:26">
      <c r="A652" t="s">
        <v>709</v>
      </c>
      <c r="B652">
        <v>16</v>
      </c>
      <c r="C652" t="str">
        <f t="shared" si="50"/>
        <v>0-17</v>
      </c>
      <c r="D652" t="s">
        <v>22</v>
      </c>
      <c r="E652" s="2">
        <v>45240</v>
      </c>
      <c r="F652" s="2" t="str">
        <f t="shared" ca="1" si="51"/>
        <v>No</v>
      </c>
      <c r="G652" s="2" t="str">
        <f t="shared" si="52"/>
        <v>Nov-2023</v>
      </c>
      <c r="H652" s="2">
        <v>45216</v>
      </c>
      <c r="I652">
        <v>6</v>
      </c>
      <c r="J652" t="s">
        <v>40</v>
      </c>
      <c r="K652">
        <v>5</v>
      </c>
      <c r="L652" t="s">
        <v>24</v>
      </c>
      <c r="M652" s="9">
        <v>36262</v>
      </c>
      <c r="N652" t="s">
        <v>53</v>
      </c>
      <c r="O652" t="s">
        <v>26</v>
      </c>
      <c r="P652" t="s">
        <v>41</v>
      </c>
      <c r="Q652" s="2">
        <v>45240</v>
      </c>
      <c r="R652" s="13">
        <f t="shared" si="53"/>
        <v>44040.000000003492</v>
      </c>
      <c r="S652" s="13">
        <f t="shared" si="54"/>
        <v>688.28571428582404</v>
      </c>
      <c r="T652" s="2">
        <v>45270.583333333336</v>
      </c>
      <c r="U652" t="s">
        <v>42</v>
      </c>
      <c r="V652" t="s">
        <v>29</v>
      </c>
      <c r="W652" t="s">
        <v>30</v>
      </c>
      <c r="X652">
        <v>11</v>
      </c>
      <c r="Y652">
        <v>12</v>
      </c>
      <c r="Z652" t="s">
        <v>48</v>
      </c>
    </row>
    <row r="653" spans="1:26">
      <c r="A653" t="s">
        <v>710</v>
      </c>
      <c r="B653">
        <v>72</v>
      </c>
      <c r="C653" t="str">
        <f t="shared" si="50"/>
        <v>66+</v>
      </c>
      <c r="D653" t="s">
        <v>62</v>
      </c>
      <c r="E653" s="2">
        <v>45464</v>
      </c>
      <c r="F653" s="2" t="str">
        <f t="shared" ca="1" si="51"/>
        <v>No</v>
      </c>
      <c r="G653" s="2" t="str">
        <f t="shared" si="52"/>
        <v>Jun-2024</v>
      </c>
      <c r="H653" s="2">
        <v>45450</v>
      </c>
      <c r="I653">
        <v>15</v>
      </c>
      <c r="J653" t="s">
        <v>50</v>
      </c>
      <c r="K653">
        <v>3</v>
      </c>
      <c r="L653" t="s">
        <v>24</v>
      </c>
      <c r="M653" s="9">
        <v>35363</v>
      </c>
      <c r="N653" t="s">
        <v>36</v>
      </c>
      <c r="O653" t="s">
        <v>54</v>
      </c>
      <c r="P653" t="s">
        <v>27</v>
      </c>
      <c r="Q653" s="2">
        <v>45464</v>
      </c>
      <c r="R653" s="13">
        <f t="shared" si="53"/>
        <v>2820.0000000034925</v>
      </c>
      <c r="S653" s="13">
        <f t="shared" si="54"/>
        <v>564.06876790840954</v>
      </c>
      <c r="T653" s="2">
        <v>45465.958333333336</v>
      </c>
      <c r="U653" t="s">
        <v>28</v>
      </c>
      <c r="V653" t="s">
        <v>29</v>
      </c>
      <c r="W653" t="s">
        <v>43</v>
      </c>
      <c r="X653">
        <v>8</v>
      </c>
      <c r="Y653">
        <v>12</v>
      </c>
      <c r="Z653" t="s">
        <v>48</v>
      </c>
    </row>
    <row r="654" spans="1:26">
      <c r="A654" t="s">
        <v>711</v>
      </c>
      <c r="B654">
        <v>76</v>
      </c>
      <c r="C654" t="str">
        <f t="shared" si="50"/>
        <v>66+</v>
      </c>
      <c r="D654" t="s">
        <v>52</v>
      </c>
      <c r="E654" s="2">
        <v>45216</v>
      </c>
      <c r="F654" s="2" t="str">
        <f t="shared" ca="1" si="51"/>
        <v>No</v>
      </c>
      <c r="G654" s="2" t="str">
        <f t="shared" si="52"/>
        <v>Oct-2023</v>
      </c>
      <c r="H654" s="2">
        <v>45229</v>
      </c>
      <c r="I654">
        <v>13</v>
      </c>
      <c r="J654" t="s">
        <v>57</v>
      </c>
      <c r="K654">
        <v>5</v>
      </c>
      <c r="L654" t="s">
        <v>24</v>
      </c>
      <c r="M654" s="9">
        <v>7107</v>
      </c>
      <c r="N654" t="s">
        <v>25</v>
      </c>
      <c r="O654" t="s">
        <v>26</v>
      </c>
      <c r="P654" t="s">
        <v>41</v>
      </c>
      <c r="Q654" s="2">
        <v>45213</v>
      </c>
      <c r="R654" s="13">
        <f t="shared" si="53"/>
        <v>1499.9999999965075</v>
      </c>
      <c r="S654" s="13">
        <f t="shared" si="54"/>
        <v>557.58620689664201</v>
      </c>
      <c r="T654" s="2">
        <v>45214.041666666664</v>
      </c>
      <c r="U654" t="s">
        <v>64</v>
      </c>
      <c r="V654" t="s">
        <v>29</v>
      </c>
      <c r="W654" t="s">
        <v>43</v>
      </c>
      <c r="X654">
        <v>6</v>
      </c>
      <c r="Y654">
        <v>10</v>
      </c>
      <c r="Z654" t="s">
        <v>31</v>
      </c>
    </row>
    <row r="655" spans="1:26">
      <c r="A655" t="s">
        <v>712</v>
      </c>
      <c r="B655">
        <v>24</v>
      </c>
      <c r="C655" t="str">
        <f t="shared" si="50"/>
        <v>18-35</v>
      </c>
      <c r="D655" t="s">
        <v>45</v>
      </c>
      <c r="E655" s="2">
        <v>45029</v>
      </c>
      <c r="F655" s="2" t="str">
        <f t="shared" ca="1" si="51"/>
        <v>No</v>
      </c>
      <c r="G655" s="2" t="str">
        <f t="shared" si="52"/>
        <v>Apr-2023</v>
      </c>
      <c r="H655" s="2">
        <v>45039</v>
      </c>
      <c r="I655">
        <v>10</v>
      </c>
      <c r="J655" t="s">
        <v>50</v>
      </c>
      <c r="K655">
        <v>3</v>
      </c>
      <c r="L655" t="s">
        <v>46</v>
      </c>
      <c r="M655" s="9">
        <v>12928</v>
      </c>
      <c r="N655" t="s">
        <v>53</v>
      </c>
      <c r="O655" t="s">
        <v>54</v>
      </c>
      <c r="P655" t="s">
        <v>41</v>
      </c>
      <c r="Q655" s="2">
        <v>45029</v>
      </c>
      <c r="R655" s="13">
        <f t="shared" si="53"/>
        <v>1380.0000000034925</v>
      </c>
      <c r="S655" s="13">
        <f t="shared" si="54"/>
        <v>554.87031700298246</v>
      </c>
      <c r="T655" s="2">
        <v>45029.958333333336</v>
      </c>
      <c r="U655" t="s">
        <v>55</v>
      </c>
      <c r="V655" t="s">
        <v>29</v>
      </c>
      <c r="W655" t="s">
        <v>47</v>
      </c>
      <c r="X655">
        <v>5</v>
      </c>
      <c r="Y655">
        <v>12</v>
      </c>
      <c r="Z655" t="s">
        <v>48</v>
      </c>
    </row>
    <row r="656" spans="1:26">
      <c r="A656" t="s">
        <v>713</v>
      </c>
      <c r="B656">
        <v>28</v>
      </c>
      <c r="C656" t="str">
        <f t="shared" si="50"/>
        <v>18-35</v>
      </c>
      <c r="D656" t="s">
        <v>41</v>
      </c>
      <c r="E656" s="2">
        <v>45125</v>
      </c>
      <c r="F656" s="2" t="str">
        <f t="shared" ca="1" si="51"/>
        <v>No</v>
      </c>
      <c r="G656" s="2" t="str">
        <f t="shared" si="52"/>
        <v>Jul-2023</v>
      </c>
      <c r="H656" s="2">
        <v>45128</v>
      </c>
      <c r="I656">
        <v>3</v>
      </c>
      <c r="J656" t="s">
        <v>50</v>
      </c>
      <c r="K656">
        <v>2</v>
      </c>
      <c r="L656" t="s">
        <v>71</v>
      </c>
      <c r="M656" s="9">
        <v>24317</v>
      </c>
      <c r="N656" t="s">
        <v>25</v>
      </c>
      <c r="O656" t="s">
        <v>54</v>
      </c>
      <c r="P656" t="s">
        <v>41</v>
      </c>
      <c r="Q656" s="2">
        <v>45123</v>
      </c>
      <c r="R656" s="13">
        <f t="shared" si="53"/>
        <v>1679.9999999965075</v>
      </c>
      <c r="S656" s="13">
        <f t="shared" si="54"/>
        <v>552.48554913303883</v>
      </c>
      <c r="T656" s="2">
        <v>45124.166666666664</v>
      </c>
      <c r="U656" t="s">
        <v>28</v>
      </c>
      <c r="V656" t="s">
        <v>29</v>
      </c>
      <c r="W656" t="s">
        <v>43</v>
      </c>
      <c r="X656">
        <v>10</v>
      </c>
      <c r="Y656">
        <v>8</v>
      </c>
      <c r="Z656" t="s">
        <v>31</v>
      </c>
    </row>
    <row r="657" spans="1:26">
      <c r="A657" t="s">
        <v>714</v>
      </c>
      <c r="B657">
        <v>8</v>
      </c>
      <c r="C657" t="str">
        <f t="shared" si="50"/>
        <v>0-17</v>
      </c>
      <c r="D657" t="s">
        <v>45</v>
      </c>
      <c r="E657" s="2">
        <v>45230</v>
      </c>
      <c r="F657" s="2" t="str">
        <f t="shared" ca="1" si="51"/>
        <v>No</v>
      </c>
      <c r="G657" s="2" t="str">
        <f t="shared" si="52"/>
        <v>Oct-2023</v>
      </c>
      <c r="H657" s="2">
        <v>45210</v>
      </c>
      <c r="I657">
        <v>10</v>
      </c>
      <c r="J657" t="s">
        <v>23</v>
      </c>
      <c r="K657">
        <v>1</v>
      </c>
      <c r="L657" t="s">
        <v>24</v>
      </c>
      <c r="M657" s="9">
        <v>30017</v>
      </c>
      <c r="N657" t="s">
        <v>36</v>
      </c>
      <c r="O657" t="s">
        <v>54</v>
      </c>
      <c r="P657" t="s">
        <v>41</v>
      </c>
      <c r="Q657" s="2">
        <v>45227</v>
      </c>
      <c r="R657" s="13">
        <f t="shared" si="53"/>
        <v>1260</v>
      </c>
      <c r="S657" s="13">
        <f t="shared" si="54"/>
        <v>549.21739130444905</v>
      </c>
      <c r="T657" s="2">
        <v>45227.875</v>
      </c>
      <c r="U657" t="s">
        <v>28</v>
      </c>
      <c r="V657" t="s">
        <v>29</v>
      </c>
      <c r="W657" t="s">
        <v>47</v>
      </c>
      <c r="X657">
        <v>8</v>
      </c>
      <c r="Y657">
        <v>10</v>
      </c>
      <c r="Z657" t="s">
        <v>31</v>
      </c>
    </row>
    <row r="658" spans="1:26">
      <c r="A658" t="s">
        <v>715</v>
      </c>
      <c r="B658">
        <v>36</v>
      </c>
      <c r="C658" t="str">
        <f t="shared" si="50"/>
        <v>36-50</v>
      </c>
      <c r="D658" t="s">
        <v>41</v>
      </c>
      <c r="E658" s="2">
        <v>45159</v>
      </c>
      <c r="F658" s="2" t="str">
        <f t="shared" ca="1" si="51"/>
        <v>No</v>
      </c>
      <c r="G658" s="2" t="str">
        <f t="shared" si="52"/>
        <v>Aug-2023</v>
      </c>
      <c r="H658" s="2">
        <v>45166</v>
      </c>
      <c r="I658">
        <v>7</v>
      </c>
      <c r="J658" t="s">
        <v>50</v>
      </c>
      <c r="K658">
        <v>5</v>
      </c>
      <c r="L658" t="s">
        <v>66</v>
      </c>
      <c r="M658" s="9">
        <v>18528</v>
      </c>
      <c r="N658" t="s">
        <v>60</v>
      </c>
      <c r="O658" t="s">
        <v>54</v>
      </c>
      <c r="P658" t="s">
        <v>27</v>
      </c>
      <c r="Q658" s="2">
        <v>45158</v>
      </c>
      <c r="R658" s="13">
        <f t="shared" si="53"/>
        <v>540</v>
      </c>
      <c r="S658" s="13">
        <f t="shared" si="54"/>
        <v>547.15116279079916</v>
      </c>
      <c r="T658" s="2">
        <v>45158.375</v>
      </c>
      <c r="U658" t="s">
        <v>28</v>
      </c>
      <c r="V658" t="s">
        <v>29</v>
      </c>
      <c r="W658" t="s">
        <v>47</v>
      </c>
      <c r="X658">
        <v>11</v>
      </c>
      <c r="Y658">
        <v>10</v>
      </c>
      <c r="Z658" t="s">
        <v>68</v>
      </c>
    </row>
    <row r="659" spans="1:26">
      <c r="A659" t="s">
        <v>716</v>
      </c>
      <c r="B659">
        <v>8</v>
      </c>
      <c r="C659" t="str">
        <f t="shared" si="50"/>
        <v>0-17</v>
      </c>
      <c r="D659" t="s">
        <v>52</v>
      </c>
      <c r="E659" s="2">
        <v>45413</v>
      </c>
      <c r="F659" s="2" t="str">
        <f t="shared" ca="1" si="51"/>
        <v>No</v>
      </c>
      <c r="G659" s="2" t="str">
        <f t="shared" si="52"/>
        <v>May-2024</v>
      </c>
      <c r="H659" s="2">
        <v>45505</v>
      </c>
      <c r="I659">
        <v>3</v>
      </c>
      <c r="J659" t="s">
        <v>34</v>
      </c>
      <c r="K659">
        <v>3</v>
      </c>
      <c r="L659" t="s">
        <v>66</v>
      </c>
      <c r="M659" s="9">
        <v>18313</v>
      </c>
      <c r="N659" t="s">
        <v>67</v>
      </c>
      <c r="O659" t="s">
        <v>26</v>
      </c>
      <c r="P659" t="s">
        <v>41</v>
      </c>
      <c r="Q659" s="2">
        <v>45383</v>
      </c>
      <c r="R659" s="13">
        <f t="shared" si="53"/>
        <v>959.99999999650754</v>
      </c>
      <c r="S659" s="13">
        <f t="shared" si="54"/>
        <v>547.17201166190944</v>
      </c>
      <c r="T659" s="2">
        <v>45383.666666666664</v>
      </c>
      <c r="U659" t="s">
        <v>64</v>
      </c>
      <c r="V659" t="s">
        <v>29</v>
      </c>
      <c r="W659" t="s">
        <v>43</v>
      </c>
      <c r="X659">
        <v>10</v>
      </c>
      <c r="Y659">
        <v>8</v>
      </c>
      <c r="Z659" t="s">
        <v>68</v>
      </c>
    </row>
    <row r="660" spans="1:26">
      <c r="A660" t="s">
        <v>717</v>
      </c>
      <c r="B660">
        <v>58</v>
      </c>
      <c r="C660" t="str">
        <f t="shared" si="50"/>
        <v>51-65</v>
      </c>
      <c r="D660" t="s">
        <v>52</v>
      </c>
      <c r="E660" s="2">
        <v>44992</v>
      </c>
      <c r="F660" s="2" t="str">
        <f t="shared" ca="1" si="51"/>
        <v>No</v>
      </c>
      <c r="G660" s="2" t="str">
        <f t="shared" si="52"/>
        <v>Mar-2023</v>
      </c>
      <c r="H660" s="2">
        <v>45084</v>
      </c>
      <c r="I660">
        <v>3</v>
      </c>
      <c r="J660" t="s">
        <v>50</v>
      </c>
      <c r="K660">
        <v>4</v>
      </c>
      <c r="L660" t="s">
        <v>46</v>
      </c>
      <c r="M660" s="9">
        <v>6559</v>
      </c>
      <c r="N660" t="s">
        <v>67</v>
      </c>
      <c r="O660" t="s">
        <v>54</v>
      </c>
      <c r="P660" t="s">
        <v>27</v>
      </c>
      <c r="Q660" s="2">
        <v>45105</v>
      </c>
      <c r="R660" s="13">
        <f t="shared" si="53"/>
        <v>1080</v>
      </c>
      <c r="S660" s="13">
        <f t="shared" si="54"/>
        <v>545.96491228081413</v>
      </c>
      <c r="T660" s="2">
        <v>45105.75</v>
      </c>
      <c r="U660" t="s">
        <v>28</v>
      </c>
      <c r="V660" t="s">
        <v>29</v>
      </c>
      <c r="W660" t="s">
        <v>43</v>
      </c>
      <c r="X660">
        <v>4</v>
      </c>
      <c r="Y660">
        <v>8</v>
      </c>
      <c r="Z660" t="s">
        <v>68</v>
      </c>
    </row>
    <row r="661" spans="1:26">
      <c r="A661" t="s">
        <v>718</v>
      </c>
      <c r="B661">
        <v>60</v>
      </c>
      <c r="C661" t="str">
        <f t="shared" si="50"/>
        <v>51-65</v>
      </c>
      <c r="D661" t="s">
        <v>52</v>
      </c>
      <c r="E661" s="2">
        <v>45088</v>
      </c>
      <c r="F661" s="2" t="str">
        <f t="shared" ca="1" si="51"/>
        <v>No</v>
      </c>
      <c r="G661" s="2" t="str">
        <f t="shared" si="52"/>
        <v>Jun-2023</v>
      </c>
      <c r="H661" s="2">
        <v>45180</v>
      </c>
      <c r="I661">
        <v>3</v>
      </c>
      <c r="J661" t="s">
        <v>34</v>
      </c>
      <c r="K661">
        <v>2</v>
      </c>
      <c r="L661" t="s">
        <v>46</v>
      </c>
      <c r="M661" s="9">
        <v>20167</v>
      </c>
      <c r="N661" t="s">
        <v>60</v>
      </c>
      <c r="O661" t="s">
        <v>54</v>
      </c>
      <c r="P661" t="s">
        <v>27</v>
      </c>
      <c r="Q661" s="2">
        <v>44937</v>
      </c>
      <c r="R661" s="13">
        <f t="shared" si="53"/>
        <v>45720</v>
      </c>
      <c r="S661" s="13">
        <f t="shared" si="54"/>
        <v>544.39882697958478</v>
      </c>
      <c r="T661" s="2">
        <v>44968.75</v>
      </c>
      <c r="U661" t="s">
        <v>28</v>
      </c>
      <c r="V661" t="s">
        <v>29</v>
      </c>
      <c r="W661" t="s">
        <v>43</v>
      </c>
      <c r="X661">
        <v>4</v>
      </c>
      <c r="Y661">
        <v>12</v>
      </c>
      <c r="Z661" t="s">
        <v>68</v>
      </c>
    </row>
    <row r="662" spans="1:26">
      <c r="A662" t="s">
        <v>719</v>
      </c>
      <c r="B662">
        <v>50</v>
      </c>
      <c r="C662" t="str">
        <f t="shared" si="50"/>
        <v>36-50</v>
      </c>
      <c r="D662" t="s">
        <v>22</v>
      </c>
      <c r="E662" s="2">
        <v>44941</v>
      </c>
      <c r="F662" s="2" t="str">
        <f t="shared" ca="1" si="51"/>
        <v>No</v>
      </c>
      <c r="G662" s="2" t="str">
        <f t="shared" si="52"/>
        <v>Jan-2023</v>
      </c>
      <c r="H662" s="2">
        <v>44955</v>
      </c>
      <c r="I662">
        <v>14</v>
      </c>
      <c r="J662" t="s">
        <v>57</v>
      </c>
      <c r="K662">
        <v>1</v>
      </c>
      <c r="L662" t="s">
        <v>35</v>
      </c>
      <c r="M662" s="9">
        <v>20343</v>
      </c>
      <c r="N662" t="s">
        <v>53</v>
      </c>
      <c r="O662" t="s">
        <v>26</v>
      </c>
      <c r="P662" t="s">
        <v>27</v>
      </c>
      <c r="Q662" s="2">
        <v>45200</v>
      </c>
      <c r="R662" s="13">
        <f t="shared" si="53"/>
        <v>360</v>
      </c>
      <c r="S662" s="13">
        <f t="shared" si="54"/>
        <v>411.52941176481886</v>
      </c>
      <c r="T662" s="2">
        <v>45200.25</v>
      </c>
      <c r="U662" t="s">
        <v>55</v>
      </c>
      <c r="V662" t="s">
        <v>29</v>
      </c>
      <c r="W662" t="s">
        <v>30</v>
      </c>
      <c r="X662">
        <v>4</v>
      </c>
      <c r="Y662">
        <v>8</v>
      </c>
      <c r="Z662" t="s">
        <v>31</v>
      </c>
    </row>
    <row r="663" spans="1:26">
      <c r="A663" t="s">
        <v>720</v>
      </c>
      <c r="B663">
        <v>28</v>
      </c>
      <c r="C663" t="str">
        <f t="shared" si="50"/>
        <v>18-35</v>
      </c>
      <c r="D663" t="s">
        <v>41</v>
      </c>
      <c r="E663" s="2">
        <v>45204</v>
      </c>
      <c r="F663" s="2" t="str">
        <f t="shared" ca="1" si="51"/>
        <v>No</v>
      </c>
      <c r="G663" s="2" t="str">
        <f t="shared" si="52"/>
        <v>Oct-2023</v>
      </c>
      <c r="H663" s="2">
        <v>45068</v>
      </c>
      <c r="I663">
        <v>12</v>
      </c>
      <c r="J663" t="s">
        <v>34</v>
      </c>
      <c r="K663">
        <v>2</v>
      </c>
      <c r="L663" t="s">
        <v>35</v>
      </c>
      <c r="M663" s="9">
        <v>43598</v>
      </c>
      <c r="N663" t="s">
        <v>53</v>
      </c>
      <c r="O663" t="s">
        <v>54</v>
      </c>
      <c r="P663" t="s">
        <v>41</v>
      </c>
      <c r="Q663" s="2">
        <v>45112</v>
      </c>
      <c r="R663" s="13">
        <f t="shared" si="53"/>
        <v>959.99999999650754</v>
      </c>
      <c r="S663" s="13">
        <f t="shared" si="54"/>
        <v>411.68141592931687</v>
      </c>
      <c r="T663" s="2">
        <v>45112.666666666664</v>
      </c>
      <c r="U663" t="s">
        <v>64</v>
      </c>
      <c r="V663" t="s">
        <v>29</v>
      </c>
      <c r="W663" t="s">
        <v>47</v>
      </c>
      <c r="X663">
        <v>10</v>
      </c>
      <c r="Y663">
        <v>10</v>
      </c>
      <c r="Z663" t="s">
        <v>48</v>
      </c>
    </row>
    <row r="664" spans="1:26">
      <c r="A664" t="s">
        <v>721</v>
      </c>
      <c r="B664">
        <v>41</v>
      </c>
      <c r="C664" t="str">
        <f t="shared" si="50"/>
        <v>36-50</v>
      </c>
      <c r="D664" t="s">
        <v>22</v>
      </c>
      <c r="E664" s="2">
        <v>45148</v>
      </c>
      <c r="F664" s="2" t="str">
        <f t="shared" ca="1" si="51"/>
        <v>No</v>
      </c>
      <c r="G664" s="2" t="str">
        <f t="shared" si="52"/>
        <v>Aug-2023</v>
      </c>
      <c r="H664" s="2">
        <v>45220</v>
      </c>
      <c r="I664">
        <v>13</v>
      </c>
      <c r="J664" t="s">
        <v>57</v>
      </c>
      <c r="K664">
        <v>4</v>
      </c>
      <c r="L664" t="s">
        <v>35</v>
      </c>
      <c r="M664" s="9">
        <v>12523</v>
      </c>
      <c r="N664" t="s">
        <v>25</v>
      </c>
      <c r="O664" t="s">
        <v>54</v>
      </c>
      <c r="P664" t="s">
        <v>27</v>
      </c>
      <c r="Q664" s="2">
        <v>45087</v>
      </c>
      <c r="R664" s="13">
        <f t="shared" si="53"/>
        <v>43920</v>
      </c>
      <c r="S664" s="13">
        <f t="shared" si="54"/>
        <v>410.05917159775714</v>
      </c>
      <c r="T664" s="2">
        <v>45117.5</v>
      </c>
      <c r="U664" t="s">
        <v>64</v>
      </c>
      <c r="V664" t="s">
        <v>29</v>
      </c>
      <c r="W664" t="s">
        <v>43</v>
      </c>
      <c r="X664">
        <v>4</v>
      </c>
      <c r="Y664">
        <v>10</v>
      </c>
      <c r="Z664" t="s">
        <v>68</v>
      </c>
    </row>
    <row r="665" spans="1:26">
      <c r="A665" t="s">
        <v>722</v>
      </c>
      <c r="B665">
        <v>64</v>
      </c>
      <c r="C665" t="str">
        <f t="shared" si="50"/>
        <v>51-65</v>
      </c>
      <c r="D665" t="s">
        <v>22</v>
      </c>
      <c r="E665" s="2">
        <v>44973</v>
      </c>
      <c r="F665" s="2" t="str">
        <f t="shared" ca="1" si="51"/>
        <v>No</v>
      </c>
      <c r="G665" s="2" t="str">
        <f t="shared" si="52"/>
        <v>Feb-2023</v>
      </c>
      <c r="H665" s="2">
        <v>44983</v>
      </c>
      <c r="I665">
        <v>10</v>
      </c>
      <c r="J665" t="s">
        <v>57</v>
      </c>
      <c r="K665">
        <v>1</v>
      </c>
      <c r="L665" t="s">
        <v>46</v>
      </c>
      <c r="M665" s="9">
        <v>33439</v>
      </c>
      <c r="N665" t="s">
        <v>60</v>
      </c>
      <c r="O665" t="s">
        <v>26</v>
      </c>
      <c r="P665" t="s">
        <v>27</v>
      </c>
      <c r="Q665" s="2">
        <v>44970</v>
      </c>
      <c r="R665" s="13">
        <f t="shared" si="53"/>
        <v>2340</v>
      </c>
      <c r="S665" s="13">
        <f t="shared" si="54"/>
        <v>280.94955489626682</v>
      </c>
      <c r="T665" s="2">
        <v>44971.625</v>
      </c>
      <c r="U665" t="s">
        <v>28</v>
      </c>
      <c r="V665" t="s">
        <v>29</v>
      </c>
      <c r="W665" t="s">
        <v>30</v>
      </c>
      <c r="X665">
        <v>9</v>
      </c>
      <c r="Y665">
        <v>10</v>
      </c>
      <c r="Z665" t="s">
        <v>68</v>
      </c>
    </row>
    <row r="666" spans="1:26">
      <c r="A666" t="s">
        <v>723</v>
      </c>
      <c r="B666">
        <v>27</v>
      </c>
      <c r="C666" t="str">
        <f t="shared" si="50"/>
        <v>18-35</v>
      </c>
      <c r="D666" t="s">
        <v>33</v>
      </c>
      <c r="E666" s="2">
        <v>44982</v>
      </c>
      <c r="F666" s="2" t="str">
        <f t="shared" ca="1" si="51"/>
        <v>No</v>
      </c>
      <c r="G666" s="2" t="str">
        <f t="shared" si="52"/>
        <v>Feb-2023</v>
      </c>
      <c r="H666" s="2">
        <v>45202</v>
      </c>
      <c r="I666">
        <v>13</v>
      </c>
      <c r="J666" t="s">
        <v>34</v>
      </c>
      <c r="K666">
        <v>4</v>
      </c>
      <c r="L666" t="s">
        <v>46</v>
      </c>
      <c r="M666" s="9">
        <v>20524</v>
      </c>
      <c r="N666" t="s">
        <v>53</v>
      </c>
      <c r="O666" t="s">
        <v>54</v>
      </c>
      <c r="P666" t="s">
        <v>27</v>
      </c>
      <c r="Q666" s="2">
        <v>44979</v>
      </c>
      <c r="R666" s="13">
        <f t="shared" si="53"/>
        <v>2340</v>
      </c>
      <c r="S666" s="13">
        <f t="shared" si="54"/>
        <v>274.82142857155333</v>
      </c>
      <c r="T666" s="2">
        <v>44980.625</v>
      </c>
      <c r="U666" t="s">
        <v>64</v>
      </c>
      <c r="V666" t="s">
        <v>29</v>
      </c>
      <c r="W666" t="s">
        <v>43</v>
      </c>
      <c r="X666">
        <v>4</v>
      </c>
      <c r="Y666">
        <v>12</v>
      </c>
      <c r="Z666" t="s">
        <v>68</v>
      </c>
    </row>
    <row r="667" spans="1:26">
      <c r="A667" t="s">
        <v>724</v>
      </c>
      <c r="B667">
        <v>63</v>
      </c>
      <c r="C667" t="str">
        <f t="shared" si="50"/>
        <v>51-65</v>
      </c>
      <c r="D667" t="s">
        <v>45</v>
      </c>
      <c r="E667" s="2">
        <v>45226</v>
      </c>
      <c r="F667" s="2" t="str">
        <f t="shared" ca="1" si="51"/>
        <v>No</v>
      </c>
      <c r="G667" s="2" t="str">
        <f t="shared" si="52"/>
        <v>Oct-2023</v>
      </c>
      <c r="H667" s="2">
        <v>45241</v>
      </c>
      <c r="I667">
        <v>15</v>
      </c>
      <c r="J667" t="s">
        <v>40</v>
      </c>
      <c r="K667">
        <v>2</v>
      </c>
      <c r="L667" t="s">
        <v>46</v>
      </c>
      <c r="M667" s="9">
        <v>18285</v>
      </c>
      <c r="N667" t="s">
        <v>60</v>
      </c>
      <c r="O667" t="s">
        <v>26</v>
      </c>
      <c r="P667" t="s">
        <v>27</v>
      </c>
      <c r="Q667" s="2">
        <v>45223</v>
      </c>
      <c r="R667" s="13">
        <f t="shared" si="53"/>
        <v>2820.0000000034925</v>
      </c>
      <c r="S667" s="13">
        <f t="shared" si="54"/>
        <v>268.65671641803556</v>
      </c>
      <c r="T667" s="2">
        <v>45224.958333333336</v>
      </c>
      <c r="U667" t="s">
        <v>37</v>
      </c>
      <c r="V667" t="s">
        <v>29</v>
      </c>
      <c r="W667" t="s">
        <v>47</v>
      </c>
      <c r="X667">
        <v>5</v>
      </c>
      <c r="Y667">
        <v>12</v>
      </c>
      <c r="Z667" t="s">
        <v>48</v>
      </c>
    </row>
    <row r="668" spans="1:26">
      <c r="A668" t="s">
        <v>725</v>
      </c>
      <c r="B668">
        <v>17</v>
      </c>
      <c r="C668" t="str">
        <f t="shared" si="50"/>
        <v>0-17</v>
      </c>
      <c r="D668" t="s">
        <v>45</v>
      </c>
      <c r="E668" s="2">
        <v>45204</v>
      </c>
      <c r="F668" s="2" t="str">
        <f t="shared" ca="1" si="51"/>
        <v>No</v>
      </c>
      <c r="G668" s="2" t="str">
        <f t="shared" si="52"/>
        <v>Oct-2023</v>
      </c>
      <c r="H668" s="2">
        <v>45059</v>
      </c>
      <c r="I668">
        <v>3</v>
      </c>
      <c r="J668" t="s">
        <v>63</v>
      </c>
      <c r="K668">
        <v>3</v>
      </c>
      <c r="L668" t="s">
        <v>66</v>
      </c>
      <c r="M668" s="9">
        <v>15973</v>
      </c>
      <c r="N668" t="s">
        <v>36</v>
      </c>
      <c r="O668" t="s">
        <v>54</v>
      </c>
      <c r="P668" t="s">
        <v>27</v>
      </c>
      <c r="Q668" s="2">
        <v>45112</v>
      </c>
      <c r="R668" s="13">
        <f t="shared" si="53"/>
        <v>45540</v>
      </c>
      <c r="S668" s="13">
        <f t="shared" si="54"/>
        <v>261.01796407197133</v>
      </c>
      <c r="T668" s="2">
        <v>45143.625</v>
      </c>
      <c r="U668" t="s">
        <v>64</v>
      </c>
      <c r="V668" t="s">
        <v>29</v>
      </c>
      <c r="W668" t="s">
        <v>30</v>
      </c>
      <c r="X668">
        <v>7</v>
      </c>
      <c r="Y668">
        <v>8</v>
      </c>
      <c r="Z668" t="s">
        <v>68</v>
      </c>
    </row>
    <row r="669" spans="1:26">
      <c r="A669" t="s">
        <v>726</v>
      </c>
      <c r="B669">
        <v>73</v>
      </c>
      <c r="C669" t="str">
        <f t="shared" si="50"/>
        <v>66+</v>
      </c>
      <c r="D669" t="s">
        <v>62</v>
      </c>
      <c r="E669" s="2">
        <v>45429</v>
      </c>
      <c r="F669" s="2" t="str">
        <f t="shared" ca="1" si="51"/>
        <v>No</v>
      </c>
      <c r="G669" s="2" t="str">
        <f t="shared" si="52"/>
        <v>May-2024</v>
      </c>
      <c r="H669" s="2">
        <v>45441</v>
      </c>
      <c r="I669">
        <v>12</v>
      </c>
      <c r="J669" t="s">
        <v>50</v>
      </c>
      <c r="K669">
        <v>2</v>
      </c>
      <c r="L669" t="s">
        <v>46</v>
      </c>
      <c r="M669" s="9">
        <v>27694</v>
      </c>
      <c r="N669" t="s">
        <v>67</v>
      </c>
      <c r="O669" t="s">
        <v>26</v>
      </c>
      <c r="P669" t="s">
        <v>27</v>
      </c>
      <c r="Q669" s="2">
        <v>45429</v>
      </c>
      <c r="R669" s="13">
        <f t="shared" si="53"/>
        <v>1139.9999999965075</v>
      </c>
      <c r="S669" s="13">
        <f t="shared" si="54"/>
        <v>125.04504504516041</v>
      </c>
      <c r="T669" s="2">
        <v>45429.791666666664</v>
      </c>
      <c r="U669" t="s">
        <v>64</v>
      </c>
      <c r="V669" t="s">
        <v>29</v>
      </c>
      <c r="W669" t="s">
        <v>47</v>
      </c>
      <c r="X669">
        <v>9</v>
      </c>
      <c r="Y669">
        <v>12</v>
      </c>
      <c r="Z669" t="s">
        <v>48</v>
      </c>
    </row>
    <row r="670" spans="1:26">
      <c r="A670" t="s">
        <v>727</v>
      </c>
      <c r="B670">
        <v>33</v>
      </c>
      <c r="C670" t="str">
        <f t="shared" si="50"/>
        <v>18-35</v>
      </c>
      <c r="D670" t="s">
        <v>22</v>
      </c>
      <c r="E670" s="2">
        <v>45032</v>
      </c>
      <c r="F670" s="2" t="str">
        <f t="shared" ca="1" si="51"/>
        <v>No</v>
      </c>
      <c r="G670" s="2" t="str">
        <f t="shared" si="52"/>
        <v>Apr-2023</v>
      </c>
      <c r="H670" s="2">
        <v>45040</v>
      </c>
      <c r="I670">
        <v>8</v>
      </c>
      <c r="J670" t="s">
        <v>23</v>
      </c>
      <c r="K670">
        <v>2</v>
      </c>
      <c r="L670" t="s">
        <v>66</v>
      </c>
      <c r="M670" s="9">
        <v>40774</v>
      </c>
      <c r="N670" t="s">
        <v>67</v>
      </c>
      <c r="O670" t="s">
        <v>54</v>
      </c>
      <c r="P670" t="s">
        <v>27</v>
      </c>
      <c r="Q670" s="2">
        <v>45234</v>
      </c>
      <c r="R670" s="13">
        <f t="shared" si="53"/>
        <v>44460</v>
      </c>
      <c r="S670" s="13">
        <f t="shared" si="54"/>
        <v>121.98795180735515</v>
      </c>
      <c r="T670" s="2">
        <v>45264.875</v>
      </c>
      <c r="U670" t="s">
        <v>64</v>
      </c>
      <c r="V670" t="s">
        <v>29</v>
      </c>
      <c r="W670" t="s">
        <v>43</v>
      </c>
      <c r="X670">
        <v>11</v>
      </c>
      <c r="Y670">
        <v>12</v>
      </c>
      <c r="Z670" t="s">
        <v>31</v>
      </c>
    </row>
    <row r="671" spans="1:26">
      <c r="A671" t="s">
        <v>728</v>
      </c>
      <c r="B671">
        <v>84</v>
      </c>
      <c r="C671" t="str">
        <f t="shared" si="50"/>
        <v>66+</v>
      </c>
      <c r="D671" t="s">
        <v>41</v>
      </c>
      <c r="E671" s="2">
        <v>44939</v>
      </c>
      <c r="F671" s="2" t="str">
        <f t="shared" ca="1" si="51"/>
        <v>No</v>
      </c>
      <c r="G671" s="2" t="str">
        <f t="shared" si="52"/>
        <v>Jan-2023</v>
      </c>
      <c r="H671" s="2">
        <v>44940</v>
      </c>
      <c r="I671">
        <v>1</v>
      </c>
      <c r="J671" t="s">
        <v>63</v>
      </c>
      <c r="K671">
        <v>2</v>
      </c>
      <c r="L671" t="s">
        <v>35</v>
      </c>
      <c r="M671" s="9">
        <v>9302</v>
      </c>
      <c r="N671" t="s">
        <v>67</v>
      </c>
      <c r="O671" t="s">
        <v>26</v>
      </c>
      <c r="P671" t="s">
        <v>27</v>
      </c>
      <c r="Q671" s="2">
        <v>45139</v>
      </c>
      <c r="R671" s="13">
        <f t="shared" si="53"/>
        <v>120.00000000349246</v>
      </c>
      <c r="S671" s="13">
        <f t="shared" si="54"/>
        <v>-11.96374622343834</v>
      </c>
      <c r="T671" s="2">
        <v>45139.083333333336</v>
      </c>
      <c r="U671" t="s">
        <v>42</v>
      </c>
      <c r="V671" t="s">
        <v>29</v>
      </c>
      <c r="W671" t="s">
        <v>43</v>
      </c>
      <c r="X671">
        <v>7</v>
      </c>
      <c r="Y671">
        <v>10</v>
      </c>
      <c r="Z671" t="s">
        <v>31</v>
      </c>
    </row>
    <row r="672" spans="1:26">
      <c r="A672" t="s">
        <v>729</v>
      </c>
      <c r="B672">
        <v>77</v>
      </c>
      <c r="C672" t="str">
        <f t="shared" si="50"/>
        <v>66+</v>
      </c>
      <c r="D672" t="s">
        <v>33</v>
      </c>
      <c r="E672" s="2">
        <v>45218</v>
      </c>
      <c r="F672" s="2" t="str">
        <f t="shared" ca="1" si="51"/>
        <v>No</v>
      </c>
      <c r="G672" s="2" t="str">
        <f t="shared" si="52"/>
        <v>Oct-2023</v>
      </c>
      <c r="H672" s="2">
        <v>45225</v>
      </c>
      <c r="I672">
        <v>7</v>
      </c>
      <c r="J672" t="s">
        <v>50</v>
      </c>
      <c r="K672">
        <v>5</v>
      </c>
      <c r="L672" t="s">
        <v>35</v>
      </c>
      <c r="M672" s="9">
        <v>27391</v>
      </c>
      <c r="N672" t="s">
        <v>60</v>
      </c>
      <c r="O672" t="s">
        <v>54</v>
      </c>
      <c r="P672" t="s">
        <v>41</v>
      </c>
      <c r="Q672" s="2">
        <v>45214</v>
      </c>
      <c r="R672" s="13">
        <f t="shared" si="53"/>
        <v>2579.9999999965075</v>
      </c>
      <c r="S672" s="13">
        <f t="shared" si="54"/>
        <v>-12.363636363519948</v>
      </c>
      <c r="T672" s="2">
        <v>45215.791666666664</v>
      </c>
      <c r="U672" t="s">
        <v>42</v>
      </c>
      <c r="V672" t="s">
        <v>29</v>
      </c>
      <c r="W672" t="s">
        <v>43</v>
      </c>
      <c r="X672">
        <v>5</v>
      </c>
      <c r="Y672">
        <v>10</v>
      </c>
      <c r="Z672" t="s">
        <v>31</v>
      </c>
    </row>
    <row r="673" spans="1:26">
      <c r="A673" t="s">
        <v>730</v>
      </c>
      <c r="B673">
        <v>29</v>
      </c>
      <c r="C673" t="str">
        <f t="shared" si="50"/>
        <v>18-35</v>
      </c>
      <c r="D673" t="s">
        <v>33</v>
      </c>
      <c r="E673" s="2">
        <v>45407</v>
      </c>
      <c r="F673" s="2" t="str">
        <f t="shared" ca="1" si="51"/>
        <v>No</v>
      </c>
      <c r="G673" s="2" t="str">
        <f t="shared" si="52"/>
        <v>Apr-2024</v>
      </c>
      <c r="H673" s="2">
        <v>45296</v>
      </c>
      <c r="I673">
        <v>6</v>
      </c>
      <c r="J673" t="s">
        <v>50</v>
      </c>
      <c r="K673">
        <v>4</v>
      </c>
      <c r="L673" t="s">
        <v>35</v>
      </c>
      <c r="M673" s="9">
        <v>9611</v>
      </c>
      <c r="N673" t="s">
        <v>60</v>
      </c>
      <c r="O673" t="s">
        <v>26</v>
      </c>
      <c r="P673" t="s">
        <v>27</v>
      </c>
      <c r="Q673" s="2">
        <v>45406</v>
      </c>
      <c r="R673" s="13">
        <f t="shared" si="53"/>
        <v>1200.0000000034925</v>
      </c>
      <c r="S673" s="13">
        <f t="shared" si="54"/>
        <v>-20.243161094097541</v>
      </c>
      <c r="T673" s="2">
        <v>45406.833333333336</v>
      </c>
      <c r="U673" t="s">
        <v>42</v>
      </c>
      <c r="V673" t="s">
        <v>29</v>
      </c>
      <c r="W673" t="s">
        <v>30</v>
      </c>
      <c r="X673">
        <v>11</v>
      </c>
      <c r="Y673">
        <v>8</v>
      </c>
      <c r="Z673" t="s">
        <v>48</v>
      </c>
    </row>
    <row r="674" spans="1:26">
      <c r="A674" t="s">
        <v>731</v>
      </c>
      <c r="B674">
        <v>13</v>
      </c>
      <c r="C674" t="str">
        <f t="shared" si="50"/>
        <v>0-17</v>
      </c>
      <c r="D674" t="s">
        <v>45</v>
      </c>
      <c r="E674" s="2">
        <v>45417</v>
      </c>
      <c r="F674" s="2" t="str">
        <f t="shared" ca="1" si="51"/>
        <v>No</v>
      </c>
      <c r="G674" s="2" t="str">
        <f t="shared" si="52"/>
        <v>May-2024</v>
      </c>
      <c r="H674" s="2">
        <v>45428</v>
      </c>
      <c r="I674">
        <v>11</v>
      </c>
      <c r="J674" t="s">
        <v>57</v>
      </c>
      <c r="K674">
        <v>4</v>
      </c>
      <c r="L674" t="s">
        <v>24</v>
      </c>
      <c r="M674" s="9">
        <v>14372</v>
      </c>
      <c r="N674" t="s">
        <v>25</v>
      </c>
      <c r="O674" t="s">
        <v>54</v>
      </c>
      <c r="P674" t="s">
        <v>41</v>
      </c>
      <c r="Q674" s="2">
        <v>45412</v>
      </c>
      <c r="R674" s="13">
        <f t="shared" si="53"/>
        <v>840.00000000349246</v>
      </c>
      <c r="S674" s="13">
        <f t="shared" si="54"/>
        <v>-23.963414634029217</v>
      </c>
      <c r="T674" s="2">
        <v>45412.583333333336</v>
      </c>
      <c r="U674" t="s">
        <v>64</v>
      </c>
      <c r="V674" t="s">
        <v>29</v>
      </c>
      <c r="W674" t="s">
        <v>30</v>
      </c>
      <c r="X674">
        <v>5</v>
      </c>
      <c r="Y674">
        <v>10</v>
      </c>
      <c r="Z674" t="s">
        <v>68</v>
      </c>
    </row>
    <row r="675" spans="1:26">
      <c r="A675" t="s">
        <v>732</v>
      </c>
      <c r="B675">
        <v>46</v>
      </c>
      <c r="C675" t="str">
        <f t="shared" si="50"/>
        <v>36-50</v>
      </c>
      <c r="D675" t="s">
        <v>22</v>
      </c>
      <c r="E675" s="2">
        <v>45378</v>
      </c>
      <c r="F675" s="2" t="str">
        <f t="shared" ca="1" si="51"/>
        <v>No</v>
      </c>
      <c r="G675" s="2" t="str">
        <f t="shared" si="52"/>
        <v>Mar-2024</v>
      </c>
      <c r="H675" s="2">
        <v>45508</v>
      </c>
      <c r="I675">
        <v>12</v>
      </c>
      <c r="J675" t="s">
        <v>50</v>
      </c>
      <c r="K675">
        <v>4</v>
      </c>
      <c r="L675" t="s">
        <v>24</v>
      </c>
      <c r="M675" s="9">
        <v>29312</v>
      </c>
      <c r="N675" t="s">
        <v>67</v>
      </c>
      <c r="O675" t="s">
        <v>54</v>
      </c>
      <c r="P675" t="s">
        <v>27</v>
      </c>
      <c r="Q675" s="2">
        <v>45376</v>
      </c>
      <c r="R675" s="13">
        <f t="shared" si="53"/>
        <v>2039.9999999965075</v>
      </c>
      <c r="S675" s="13">
        <f t="shared" si="54"/>
        <v>-26.605504587049161</v>
      </c>
      <c r="T675" s="2">
        <v>45377.416666666664</v>
      </c>
      <c r="U675" t="s">
        <v>37</v>
      </c>
      <c r="V675" t="s">
        <v>29</v>
      </c>
      <c r="W675" t="s">
        <v>30</v>
      </c>
      <c r="X675">
        <v>6</v>
      </c>
      <c r="Y675">
        <v>12</v>
      </c>
      <c r="Z675" t="s">
        <v>68</v>
      </c>
    </row>
    <row r="676" spans="1:26">
      <c r="A676" t="s">
        <v>733</v>
      </c>
      <c r="B676">
        <v>35</v>
      </c>
      <c r="C676" t="str">
        <f t="shared" si="50"/>
        <v>18-35</v>
      </c>
      <c r="D676" t="s">
        <v>62</v>
      </c>
      <c r="E676" s="2">
        <v>45275</v>
      </c>
      <c r="F676" s="2" t="str">
        <f t="shared" ca="1" si="51"/>
        <v>No</v>
      </c>
      <c r="G676" s="2" t="str">
        <f t="shared" si="52"/>
        <v>Dec-2023</v>
      </c>
      <c r="H676" s="2">
        <v>45279</v>
      </c>
      <c r="I676">
        <v>4</v>
      </c>
      <c r="J676" t="s">
        <v>23</v>
      </c>
      <c r="K676">
        <v>5</v>
      </c>
      <c r="L676" t="s">
        <v>71</v>
      </c>
      <c r="M676" s="9">
        <v>19080</v>
      </c>
      <c r="N676" t="s">
        <v>25</v>
      </c>
      <c r="O676" t="s">
        <v>54</v>
      </c>
      <c r="P676" t="s">
        <v>27</v>
      </c>
      <c r="Q676" s="2">
        <v>45275</v>
      </c>
      <c r="R676" s="13">
        <f t="shared" si="53"/>
        <v>2340</v>
      </c>
      <c r="S676" s="13">
        <f t="shared" si="54"/>
        <v>-32.944785275955773</v>
      </c>
      <c r="T676" s="2">
        <v>45276.625</v>
      </c>
      <c r="U676" t="s">
        <v>64</v>
      </c>
      <c r="V676" t="s">
        <v>29</v>
      </c>
      <c r="W676" t="s">
        <v>30</v>
      </c>
      <c r="X676">
        <v>11</v>
      </c>
      <c r="Y676">
        <v>8</v>
      </c>
      <c r="Z676" t="s">
        <v>68</v>
      </c>
    </row>
    <row r="677" spans="1:26">
      <c r="A677" t="s">
        <v>734</v>
      </c>
      <c r="B677">
        <v>6</v>
      </c>
      <c r="C677" t="str">
        <f t="shared" si="50"/>
        <v>0-17</v>
      </c>
      <c r="D677" t="s">
        <v>22</v>
      </c>
      <c r="E677" s="2">
        <v>45145</v>
      </c>
      <c r="F677" s="2" t="str">
        <f t="shared" ca="1" si="51"/>
        <v>No</v>
      </c>
      <c r="G677" s="2" t="str">
        <f t="shared" si="52"/>
        <v>Aug-2023</v>
      </c>
      <c r="H677" s="2">
        <v>45123</v>
      </c>
      <c r="I677">
        <v>8</v>
      </c>
      <c r="J677" t="s">
        <v>50</v>
      </c>
      <c r="K677">
        <v>3</v>
      </c>
      <c r="L677" t="s">
        <v>71</v>
      </c>
      <c r="M677" s="9">
        <v>20082</v>
      </c>
      <c r="N677" t="s">
        <v>67</v>
      </c>
      <c r="O677" t="s">
        <v>26</v>
      </c>
      <c r="P677" t="s">
        <v>27</v>
      </c>
      <c r="Q677" s="2">
        <v>45114</v>
      </c>
      <c r="R677" s="13">
        <f t="shared" si="53"/>
        <v>45180</v>
      </c>
      <c r="S677" s="13">
        <f t="shared" si="54"/>
        <v>-40.246153846035639</v>
      </c>
      <c r="T677" s="2">
        <v>45145.375</v>
      </c>
      <c r="U677" t="s">
        <v>28</v>
      </c>
      <c r="V677" t="s">
        <v>29</v>
      </c>
      <c r="W677" t="s">
        <v>43</v>
      </c>
      <c r="X677">
        <v>9</v>
      </c>
      <c r="Y677">
        <v>8</v>
      </c>
      <c r="Z677" t="s">
        <v>68</v>
      </c>
    </row>
    <row r="678" spans="1:26">
      <c r="A678" t="s">
        <v>735</v>
      </c>
      <c r="B678">
        <v>82</v>
      </c>
      <c r="C678" t="str">
        <f t="shared" si="50"/>
        <v>66+</v>
      </c>
      <c r="D678" t="s">
        <v>52</v>
      </c>
      <c r="E678" s="2">
        <v>44979</v>
      </c>
      <c r="F678" s="2" t="str">
        <f t="shared" ca="1" si="51"/>
        <v>No</v>
      </c>
      <c r="G678" s="2" t="str">
        <f t="shared" si="52"/>
        <v>Feb-2023</v>
      </c>
      <c r="H678" s="2">
        <v>45019</v>
      </c>
      <c r="I678">
        <v>10</v>
      </c>
      <c r="J678" t="s">
        <v>34</v>
      </c>
      <c r="K678">
        <v>2</v>
      </c>
      <c r="L678" t="s">
        <v>71</v>
      </c>
      <c r="M678" s="9">
        <v>47861</v>
      </c>
      <c r="N678" t="s">
        <v>25</v>
      </c>
      <c r="O678" t="s">
        <v>26</v>
      </c>
      <c r="P678" t="s">
        <v>27</v>
      </c>
      <c r="Q678" s="2">
        <v>44975</v>
      </c>
      <c r="R678" s="13">
        <f t="shared" si="53"/>
        <v>779.99999999650754</v>
      </c>
      <c r="S678" s="13">
        <f t="shared" si="54"/>
        <v>-179.81481481469623</v>
      </c>
      <c r="T678" s="2">
        <v>44975.541666666664</v>
      </c>
      <c r="U678" t="s">
        <v>37</v>
      </c>
      <c r="V678" t="s">
        <v>29</v>
      </c>
      <c r="W678" t="s">
        <v>43</v>
      </c>
      <c r="X678">
        <v>7</v>
      </c>
      <c r="Y678">
        <v>10</v>
      </c>
      <c r="Z678" t="s">
        <v>68</v>
      </c>
    </row>
    <row r="679" spans="1:26">
      <c r="A679" t="s">
        <v>736</v>
      </c>
      <c r="B679">
        <v>69</v>
      </c>
      <c r="C679" t="str">
        <f t="shared" si="50"/>
        <v>66+</v>
      </c>
      <c r="D679" t="s">
        <v>22</v>
      </c>
      <c r="E679" s="2">
        <v>45185</v>
      </c>
      <c r="F679" s="2" t="str">
        <f t="shared" ca="1" si="51"/>
        <v>No</v>
      </c>
      <c r="G679" s="2" t="str">
        <f t="shared" si="52"/>
        <v>Sep-2023</v>
      </c>
      <c r="H679" s="2">
        <v>45190</v>
      </c>
      <c r="I679">
        <v>5</v>
      </c>
      <c r="J679" t="s">
        <v>63</v>
      </c>
      <c r="K679">
        <v>3</v>
      </c>
      <c r="L679" t="s">
        <v>24</v>
      </c>
      <c r="M679" s="9">
        <v>35677</v>
      </c>
      <c r="N679" t="s">
        <v>25</v>
      </c>
      <c r="O679" t="s">
        <v>54</v>
      </c>
      <c r="P679" t="s">
        <v>27</v>
      </c>
      <c r="Q679" s="2">
        <v>45182</v>
      </c>
      <c r="R679" s="13">
        <f t="shared" si="53"/>
        <v>2880</v>
      </c>
      <c r="S679" s="13">
        <f t="shared" si="54"/>
        <v>-182.78637770884859</v>
      </c>
      <c r="T679" s="2">
        <v>45184</v>
      </c>
      <c r="U679" t="s">
        <v>42</v>
      </c>
      <c r="V679" t="s">
        <v>29</v>
      </c>
      <c r="W679" t="s">
        <v>43</v>
      </c>
      <c r="X679">
        <v>4</v>
      </c>
      <c r="Y679">
        <v>10</v>
      </c>
      <c r="Z679" t="s">
        <v>48</v>
      </c>
    </row>
    <row r="680" spans="1:26">
      <c r="A680" t="s">
        <v>737</v>
      </c>
      <c r="B680">
        <v>47</v>
      </c>
      <c r="C680" t="str">
        <f t="shared" si="50"/>
        <v>36-50</v>
      </c>
      <c r="D680" t="s">
        <v>52</v>
      </c>
      <c r="E680" s="2">
        <v>45387</v>
      </c>
      <c r="F680" s="2" t="str">
        <f t="shared" ca="1" si="51"/>
        <v>No</v>
      </c>
      <c r="G680" s="2" t="str">
        <f t="shared" si="52"/>
        <v>Apr-2024</v>
      </c>
      <c r="H680" s="2">
        <v>45429</v>
      </c>
      <c r="I680">
        <v>13</v>
      </c>
      <c r="J680" t="s">
        <v>34</v>
      </c>
      <c r="K680">
        <v>5</v>
      </c>
      <c r="L680" t="s">
        <v>24</v>
      </c>
      <c r="M680" s="9">
        <v>25874</v>
      </c>
      <c r="N680" t="s">
        <v>36</v>
      </c>
      <c r="O680" t="s">
        <v>54</v>
      </c>
      <c r="P680" t="s">
        <v>27</v>
      </c>
      <c r="Q680" s="2">
        <v>45412</v>
      </c>
      <c r="R680" s="13">
        <f t="shared" si="53"/>
        <v>-166919.99999999651</v>
      </c>
      <c r="S680" s="13">
        <f t="shared" si="54"/>
        <v>-192.29813664583259</v>
      </c>
      <c r="T680" s="2">
        <v>45296.083333333336</v>
      </c>
      <c r="U680" t="s">
        <v>55</v>
      </c>
      <c r="V680" t="s">
        <v>38</v>
      </c>
      <c r="W680" t="s">
        <v>30</v>
      </c>
      <c r="X680">
        <v>5</v>
      </c>
      <c r="Y680">
        <v>10</v>
      </c>
      <c r="Z680" t="s">
        <v>31</v>
      </c>
    </row>
    <row r="681" spans="1:26">
      <c r="A681" t="s">
        <v>738</v>
      </c>
      <c r="B681">
        <v>25</v>
      </c>
      <c r="C681" t="str">
        <f t="shared" si="50"/>
        <v>18-35</v>
      </c>
      <c r="D681" t="s">
        <v>52</v>
      </c>
      <c r="E681" s="2">
        <v>45043</v>
      </c>
      <c r="F681" s="2" t="str">
        <f t="shared" ca="1" si="51"/>
        <v>No</v>
      </c>
      <c r="G681" s="2" t="str">
        <f t="shared" si="52"/>
        <v>Apr-2023</v>
      </c>
      <c r="H681" s="2">
        <v>45174</v>
      </c>
      <c r="I681">
        <v>12</v>
      </c>
      <c r="J681" t="s">
        <v>23</v>
      </c>
      <c r="K681">
        <v>4</v>
      </c>
      <c r="L681" t="s">
        <v>71</v>
      </c>
      <c r="M681" s="9">
        <v>13378</v>
      </c>
      <c r="N681" t="s">
        <v>25</v>
      </c>
      <c r="O681" t="s">
        <v>26</v>
      </c>
      <c r="P681" t="s">
        <v>27</v>
      </c>
      <c r="Q681" s="2">
        <v>45042</v>
      </c>
      <c r="R681" s="13">
        <f t="shared" si="53"/>
        <v>1139.9999999965075</v>
      </c>
      <c r="S681" s="13">
        <f t="shared" si="54"/>
        <v>327.10280373843744</v>
      </c>
      <c r="T681" s="2">
        <v>45042.791666666664</v>
      </c>
      <c r="U681" t="s">
        <v>37</v>
      </c>
      <c r="V681" t="s">
        <v>38</v>
      </c>
      <c r="W681" t="s">
        <v>30</v>
      </c>
      <c r="X681">
        <v>4</v>
      </c>
      <c r="Y681">
        <v>8</v>
      </c>
      <c r="Z681" t="s">
        <v>68</v>
      </c>
    </row>
    <row r="682" spans="1:26">
      <c r="A682" t="s">
        <v>739</v>
      </c>
      <c r="B682">
        <v>66</v>
      </c>
      <c r="C682" t="str">
        <f t="shared" si="50"/>
        <v>66+</v>
      </c>
      <c r="D682" t="s">
        <v>62</v>
      </c>
      <c r="E682" s="2">
        <v>45141</v>
      </c>
      <c r="F682" s="2" t="str">
        <f t="shared" ca="1" si="51"/>
        <v>No</v>
      </c>
      <c r="G682" s="2" t="str">
        <f t="shared" si="52"/>
        <v>Aug-2023</v>
      </c>
      <c r="H682" s="2">
        <v>45006</v>
      </c>
      <c r="I682">
        <v>13</v>
      </c>
      <c r="J682" t="s">
        <v>50</v>
      </c>
      <c r="K682">
        <v>2</v>
      </c>
      <c r="L682" t="s">
        <v>71</v>
      </c>
      <c r="M682" s="9">
        <v>6597</v>
      </c>
      <c r="N682" t="s">
        <v>60</v>
      </c>
      <c r="O682" t="s">
        <v>54</v>
      </c>
      <c r="P682" t="s">
        <v>27</v>
      </c>
      <c r="Q682" s="2">
        <v>44988</v>
      </c>
      <c r="R682" s="13">
        <f t="shared" si="53"/>
        <v>45720</v>
      </c>
      <c r="S682" s="13">
        <f t="shared" si="54"/>
        <v>324.56250000013097</v>
      </c>
      <c r="T682" s="2">
        <v>45019.75</v>
      </c>
      <c r="U682" t="s">
        <v>42</v>
      </c>
      <c r="V682" t="s">
        <v>29</v>
      </c>
      <c r="W682" t="s">
        <v>43</v>
      </c>
      <c r="X682">
        <v>11</v>
      </c>
      <c r="Y682">
        <v>10</v>
      </c>
      <c r="Z682" t="s">
        <v>31</v>
      </c>
    </row>
    <row r="683" spans="1:26">
      <c r="A683" t="s">
        <v>740</v>
      </c>
      <c r="B683">
        <v>10</v>
      </c>
      <c r="C683" t="str">
        <f t="shared" si="50"/>
        <v>0-17</v>
      </c>
      <c r="D683" t="s">
        <v>41</v>
      </c>
      <c r="E683" s="2">
        <v>45337</v>
      </c>
      <c r="F683" s="2" t="str">
        <f t="shared" ca="1" si="51"/>
        <v>No</v>
      </c>
      <c r="G683" s="2" t="str">
        <f t="shared" si="52"/>
        <v>Feb-2024</v>
      </c>
      <c r="H683" s="2">
        <v>45345</v>
      </c>
      <c r="I683">
        <v>8</v>
      </c>
      <c r="J683" t="s">
        <v>23</v>
      </c>
      <c r="K683">
        <v>1</v>
      </c>
      <c r="L683" t="s">
        <v>46</v>
      </c>
      <c r="M683" s="9">
        <v>16600</v>
      </c>
      <c r="N683" t="s">
        <v>25</v>
      </c>
      <c r="O683" t="s">
        <v>26</v>
      </c>
      <c r="P683" t="s">
        <v>41</v>
      </c>
      <c r="Q683" s="2">
        <v>45336</v>
      </c>
      <c r="R683" s="13">
        <f t="shared" si="53"/>
        <v>239.99999999650754</v>
      </c>
      <c r="S683" s="13">
        <f t="shared" si="54"/>
        <v>182.25705329166743</v>
      </c>
      <c r="T683" s="2">
        <v>45336.166666666664</v>
      </c>
      <c r="U683" t="s">
        <v>37</v>
      </c>
      <c r="V683" t="s">
        <v>29</v>
      </c>
      <c r="W683" t="s">
        <v>43</v>
      </c>
      <c r="X683">
        <v>7</v>
      </c>
      <c r="Y683">
        <v>12</v>
      </c>
      <c r="Z683" t="s">
        <v>48</v>
      </c>
    </row>
    <row r="684" spans="1:26">
      <c r="A684" t="s">
        <v>741</v>
      </c>
      <c r="B684">
        <v>56</v>
      </c>
      <c r="C684" t="str">
        <f t="shared" si="50"/>
        <v>51-65</v>
      </c>
      <c r="D684" t="s">
        <v>45</v>
      </c>
      <c r="E684" s="2">
        <v>45430</v>
      </c>
      <c r="F684" s="2" t="str">
        <f t="shared" ca="1" si="51"/>
        <v>No</v>
      </c>
      <c r="G684" s="2" t="str">
        <f t="shared" si="52"/>
        <v>May-2024</v>
      </c>
      <c r="H684" s="2">
        <v>45434</v>
      </c>
      <c r="I684">
        <v>4</v>
      </c>
      <c r="J684" t="s">
        <v>57</v>
      </c>
      <c r="K684">
        <v>1</v>
      </c>
      <c r="L684" t="s">
        <v>71</v>
      </c>
      <c r="M684" s="9">
        <v>8747</v>
      </c>
      <c r="N684" t="s">
        <v>67</v>
      </c>
      <c r="O684" t="s">
        <v>54</v>
      </c>
      <c r="P684" t="s">
        <v>27</v>
      </c>
      <c r="Q684" s="2">
        <v>45430</v>
      </c>
      <c r="R684" s="13">
        <f t="shared" si="53"/>
        <v>959.99999999650754</v>
      </c>
      <c r="S684" s="13">
        <f t="shared" si="54"/>
        <v>182.07547169825597</v>
      </c>
      <c r="T684" s="2">
        <v>45430.666666666664</v>
      </c>
      <c r="U684" t="s">
        <v>37</v>
      </c>
      <c r="V684" t="s">
        <v>29</v>
      </c>
      <c r="W684" t="s">
        <v>30</v>
      </c>
      <c r="X684">
        <v>10</v>
      </c>
      <c r="Y684">
        <v>8</v>
      </c>
      <c r="Z684" t="s">
        <v>48</v>
      </c>
    </row>
    <row r="685" spans="1:26">
      <c r="A685" t="s">
        <v>742</v>
      </c>
      <c r="B685">
        <v>30</v>
      </c>
      <c r="C685" t="str">
        <f t="shared" si="50"/>
        <v>18-35</v>
      </c>
      <c r="D685" t="s">
        <v>22</v>
      </c>
      <c r="E685" s="2">
        <v>45002</v>
      </c>
      <c r="F685" s="2" t="str">
        <f t="shared" ca="1" si="51"/>
        <v>No</v>
      </c>
      <c r="G685" s="2" t="str">
        <f t="shared" si="52"/>
        <v>Mar-2023</v>
      </c>
      <c r="H685" s="2">
        <v>45011</v>
      </c>
      <c r="I685">
        <v>9</v>
      </c>
      <c r="J685" t="s">
        <v>34</v>
      </c>
      <c r="K685">
        <v>3</v>
      </c>
      <c r="L685" t="s">
        <v>46</v>
      </c>
      <c r="M685" s="9">
        <v>18879</v>
      </c>
      <c r="N685" t="s">
        <v>25</v>
      </c>
      <c r="O685" t="s">
        <v>26</v>
      </c>
      <c r="P685" t="s">
        <v>27</v>
      </c>
      <c r="Q685" s="2">
        <v>45002</v>
      </c>
      <c r="R685" s="13">
        <f t="shared" si="53"/>
        <v>1920.0000000034925</v>
      </c>
      <c r="S685" s="13">
        <f t="shared" si="54"/>
        <v>179.62145110425519</v>
      </c>
      <c r="T685" s="2">
        <v>45003.333333333336</v>
      </c>
      <c r="U685" t="s">
        <v>64</v>
      </c>
      <c r="V685" t="s">
        <v>29</v>
      </c>
      <c r="W685" t="s">
        <v>47</v>
      </c>
      <c r="X685">
        <v>9</v>
      </c>
      <c r="Y685">
        <v>10</v>
      </c>
      <c r="Z685" t="s">
        <v>68</v>
      </c>
    </row>
    <row r="686" spans="1:26">
      <c r="A686" t="s">
        <v>743</v>
      </c>
      <c r="B686">
        <v>5</v>
      </c>
      <c r="C686" t="str">
        <f t="shared" si="50"/>
        <v>0-17</v>
      </c>
      <c r="D686" t="s">
        <v>52</v>
      </c>
      <c r="E686" s="2">
        <v>44981</v>
      </c>
      <c r="F686" s="2" t="str">
        <f t="shared" ca="1" si="51"/>
        <v>No</v>
      </c>
      <c r="G686" s="2" t="str">
        <f t="shared" si="52"/>
        <v>Feb-2023</v>
      </c>
      <c r="H686" s="2">
        <v>44985</v>
      </c>
      <c r="I686">
        <v>4</v>
      </c>
      <c r="J686" t="s">
        <v>34</v>
      </c>
      <c r="K686">
        <v>4</v>
      </c>
      <c r="L686" t="s">
        <v>66</v>
      </c>
      <c r="M686" s="9">
        <v>18017</v>
      </c>
      <c r="N686" t="s">
        <v>53</v>
      </c>
      <c r="O686" t="s">
        <v>54</v>
      </c>
      <c r="P686" t="s">
        <v>41</v>
      </c>
      <c r="Q686" s="2">
        <v>44979</v>
      </c>
      <c r="R686" s="13">
        <f t="shared" si="53"/>
        <v>1499.9999999965075</v>
      </c>
      <c r="S686" s="13">
        <f t="shared" si="54"/>
        <v>174.11392405077657</v>
      </c>
      <c r="T686" s="2">
        <v>44980.041666666664</v>
      </c>
      <c r="U686" t="s">
        <v>28</v>
      </c>
      <c r="V686" t="s">
        <v>29</v>
      </c>
      <c r="W686" t="s">
        <v>43</v>
      </c>
      <c r="X686">
        <v>8</v>
      </c>
      <c r="Y686">
        <v>12</v>
      </c>
      <c r="Z686" t="s">
        <v>48</v>
      </c>
    </row>
    <row r="687" spans="1:26">
      <c r="A687" t="s">
        <v>744</v>
      </c>
      <c r="B687">
        <v>33</v>
      </c>
      <c r="C687" t="str">
        <f t="shared" si="50"/>
        <v>18-35</v>
      </c>
      <c r="D687" t="s">
        <v>22</v>
      </c>
      <c r="E687" s="2">
        <v>45052</v>
      </c>
      <c r="F687" s="2" t="str">
        <f t="shared" ca="1" si="51"/>
        <v>No</v>
      </c>
      <c r="G687" s="2" t="str">
        <f t="shared" si="52"/>
        <v>May-2023</v>
      </c>
      <c r="H687" s="2">
        <v>45205</v>
      </c>
      <c r="I687">
        <v>5</v>
      </c>
      <c r="J687" t="s">
        <v>40</v>
      </c>
      <c r="K687">
        <v>1</v>
      </c>
      <c r="L687" t="s">
        <v>24</v>
      </c>
      <c r="M687" s="9">
        <v>29815</v>
      </c>
      <c r="N687" t="s">
        <v>67</v>
      </c>
      <c r="O687" t="s">
        <v>54</v>
      </c>
      <c r="P687" t="s">
        <v>27</v>
      </c>
      <c r="Q687" s="2">
        <v>44963</v>
      </c>
      <c r="R687" s="13">
        <f t="shared" si="53"/>
        <v>480.00000000349246</v>
      </c>
      <c r="S687" s="13">
        <f t="shared" si="54"/>
        <v>169.90476190491714</v>
      </c>
      <c r="T687" s="2">
        <v>44963.333333333336</v>
      </c>
      <c r="U687" t="s">
        <v>55</v>
      </c>
      <c r="V687" t="s">
        <v>38</v>
      </c>
      <c r="W687" t="s">
        <v>43</v>
      </c>
      <c r="X687">
        <v>10</v>
      </c>
      <c r="Y687">
        <v>12</v>
      </c>
      <c r="Z687" t="s">
        <v>31</v>
      </c>
    </row>
    <row r="688" spans="1:26">
      <c r="A688" t="s">
        <v>745</v>
      </c>
      <c r="B688">
        <v>65</v>
      </c>
      <c r="C688" t="str">
        <f t="shared" si="50"/>
        <v>51-65</v>
      </c>
      <c r="D688" t="s">
        <v>41</v>
      </c>
      <c r="E688" s="2">
        <v>44963</v>
      </c>
      <c r="F688" s="2" t="str">
        <f t="shared" ca="1" si="51"/>
        <v>No</v>
      </c>
      <c r="G688" s="2" t="str">
        <f t="shared" si="52"/>
        <v>Feb-2023</v>
      </c>
      <c r="H688" s="2">
        <v>45092</v>
      </c>
      <c r="I688">
        <v>13</v>
      </c>
      <c r="J688" t="s">
        <v>50</v>
      </c>
      <c r="K688">
        <v>3</v>
      </c>
      <c r="L688" t="s">
        <v>71</v>
      </c>
      <c r="M688" s="9">
        <v>23964</v>
      </c>
      <c r="N688" t="s">
        <v>53</v>
      </c>
      <c r="O688" t="s">
        <v>26</v>
      </c>
      <c r="P688" t="s">
        <v>41</v>
      </c>
      <c r="Q688" s="2">
        <v>45074</v>
      </c>
      <c r="R688" s="13">
        <f t="shared" si="53"/>
        <v>959.99999999650754</v>
      </c>
      <c r="S688" s="13">
        <f t="shared" si="54"/>
        <v>168.9171974523739</v>
      </c>
      <c r="T688" s="2">
        <v>45074.666666666664</v>
      </c>
      <c r="U688" t="s">
        <v>42</v>
      </c>
      <c r="V688" t="s">
        <v>29</v>
      </c>
      <c r="W688" t="s">
        <v>43</v>
      </c>
      <c r="X688">
        <v>11</v>
      </c>
      <c r="Y688">
        <v>10</v>
      </c>
      <c r="Z688" t="s">
        <v>68</v>
      </c>
    </row>
    <row r="689" spans="1:26">
      <c r="A689" t="s">
        <v>746</v>
      </c>
      <c r="B689">
        <v>18</v>
      </c>
      <c r="C689" t="str">
        <f t="shared" si="50"/>
        <v>18-35</v>
      </c>
      <c r="D689" t="s">
        <v>45</v>
      </c>
      <c r="E689" s="2">
        <v>45149</v>
      </c>
      <c r="F689" s="2" t="str">
        <f t="shared" ca="1" si="51"/>
        <v>No</v>
      </c>
      <c r="G689" s="2" t="str">
        <f t="shared" si="52"/>
        <v>Aug-2023</v>
      </c>
      <c r="H689" s="2">
        <v>45251</v>
      </c>
      <c r="I689">
        <v>13</v>
      </c>
      <c r="J689" t="s">
        <v>57</v>
      </c>
      <c r="K689">
        <v>5</v>
      </c>
      <c r="L689" t="s">
        <v>24</v>
      </c>
      <c r="M689" s="9">
        <v>33812</v>
      </c>
      <c r="N689" t="s">
        <v>67</v>
      </c>
      <c r="O689" t="s">
        <v>26</v>
      </c>
      <c r="P689" t="s">
        <v>27</v>
      </c>
      <c r="Q689" s="2">
        <v>44996</v>
      </c>
      <c r="R689" s="13">
        <f t="shared" si="53"/>
        <v>45120.000000003492</v>
      </c>
      <c r="S689" s="13">
        <f t="shared" si="54"/>
        <v>166.38977635798369</v>
      </c>
      <c r="T689" s="2">
        <v>45027.333333333336</v>
      </c>
      <c r="U689" t="s">
        <v>37</v>
      </c>
      <c r="V689" t="s">
        <v>29</v>
      </c>
      <c r="W689" t="s">
        <v>30</v>
      </c>
      <c r="X689">
        <v>11</v>
      </c>
      <c r="Y689">
        <v>12</v>
      </c>
      <c r="Z689" t="s">
        <v>68</v>
      </c>
    </row>
    <row r="690" spans="1:26">
      <c r="A690" t="s">
        <v>747</v>
      </c>
      <c r="B690">
        <v>49</v>
      </c>
      <c r="C690" t="str">
        <f t="shared" si="50"/>
        <v>36-50</v>
      </c>
      <c r="D690" t="s">
        <v>41</v>
      </c>
      <c r="E690" s="2">
        <v>45014</v>
      </c>
      <c r="F690" s="2" t="str">
        <f t="shared" ca="1" si="51"/>
        <v>No</v>
      </c>
      <c r="G690" s="2" t="str">
        <f t="shared" si="52"/>
        <v>Mar-2023</v>
      </c>
      <c r="H690" s="2">
        <v>45081</v>
      </c>
      <c r="I690">
        <v>8</v>
      </c>
      <c r="J690" t="s">
        <v>34</v>
      </c>
      <c r="K690">
        <v>3</v>
      </c>
      <c r="L690" t="s">
        <v>24</v>
      </c>
      <c r="M690" s="9">
        <v>45200</v>
      </c>
      <c r="N690" t="s">
        <v>60</v>
      </c>
      <c r="O690" t="s">
        <v>26</v>
      </c>
      <c r="P690" t="s">
        <v>27</v>
      </c>
      <c r="Q690" s="2">
        <v>45010</v>
      </c>
      <c r="R690" s="13">
        <f t="shared" si="53"/>
        <v>2460.0000000034925</v>
      </c>
      <c r="S690" s="13">
        <f t="shared" si="54"/>
        <v>22.307692307837826</v>
      </c>
      <c r="T690" s="2">
        <v>45011.708333333336</v>
      </c>
      <c r="U690" t="s">
        <v>55</v>
      </c>
      <c r="V690" t="s">
        <v>29</v>
      </c>
      <c r="W690" t="s">
        <v>43</v>
      </c>
      <c r="X690">
        <v>10</v>
      </c>
      <c r="Y690">
        <v>8</v>
      </c>
      <c r="Z690" t="s">
        <v>31</v>
      </c>
    </row>
    <row r="691" spans="1:26">
      <c r="A691" t="s">
        <v>748</v>
      </c>
      <c r="B691">
        <v>11</v>
      </c>
      <c r="C691" t="str">
        <f t="shared" si="50"/>
        <v>0-17</v>
      </c>
      <c r="D691" t="s">
        <v>45</v>
      </c>
      <c r="E691" s="2">
        <v>45269</v>
      </c>
      <c r="F691" s="2" t="str">
        <f t="shared" ca="1" si="51"/>
        <v>No</v>
      </c>
      <c r="G691" s="2" t="str">
        <f t="shared" si="52"/>
        <v>Dec-2023</v>
      </c>
      <c r="H691" s="2">
        <v>45196</v>
      </c>
      <c r="I691">
        <v>15</v>
      </c>
      <c r="J691" t="s">
        <v>34</v>
      </c>
      <c r="K691">
        <v>3</v>
      </c>
      <c r="L691" t="s">
        <v>24</v>
      </c>
      <c r="M691" s="9">
        <v>29714</v>
      </c>
      <c r="N691" t="s">
        <v>60</v>
      </c>
      <c r="O691" t="s">
        <v>54</v>
      </c>
      <c r="P691" t="s">
        <v>27</v>
      </c>
      <c r="Q691" s="2">
        <v>45178</v>
      </c>
      <c r="R691" s="13">
        <f t="shared" si="53"/>
        <v>44100</v>
      </c>
      <c r="S691" s="13">
        <f t="shared" si="54"/>
        <v>14.469453376340544</v>
      </c>
      <c r="T691" s="2">
        <v>45208.625</v>
      </c>
      <c r="U691" t="s">
        <v>37</v>
      </c>
      <c r="V691" t="s">
        <v>29</v>
      </c>
      <c r="W691" t="s">
        <v>43</v>
      </c>
      <c r="X691">
        <v>8</v>
      </c>
      <c r="Y691">
        <v>8</v>
      </c>
      <c r="Z691" t="s">
        <v>68</v>
      </c>
    </row>
    <row r="692" spans="1:26">
      <c r="A692" t="s">
        <v>749</v>
      </c>
      <c r="B692">
        <v>85</v>
      </c>
      <c r="C692" t="str">
        <f t="shared" si="50"/>
        <v>66+</v>
      </c>
      <c r="D692" t="s">
        <v>33</v>
      </c>
      <c r="E692" s="2">
        <v>44962</v>
      </c>
      <c r="F692" s="2" t="str">
        <f t="shared" ca="1" si="51"/>
        <v>No</v>
      </c>
      <c r="G692" s="2" t="str">
        <f t="shared" si="52"/>
        <v>Feb-2023</v>
      </c>
      <c r="H692" s="2">
        <v>45062</v>
      </c>
      <c r="I692">
        <v>14</v>
      </c>
      <c r="J692" t="s">
        <v>57</v>
      </c>
      <c r="K692">
        <v>3</v>
      </c>
      <c r="L692" t="s">
        <v>66</v>
      </c>
      <c r="M692" s="9">
        <v>23890</v>
      </c>
      <c r="N692" t="s">
        <v>60</v>
      </c>
      <c r="O692" t="s">
        <v>54</v>
      </c>
      <c r="P692" t="s">
        <v>41</v>
      </c>
      <c r="Q692" s="2">
        <v>45044</v>
      </c>
      <c r="R692" s="13">
        <f t="shared" si="53"/>
        <v>300.00000000349246</v>
      </c>
      <c r="S692" s="13">
        <f t="shared" si="54"/>
        <v>-127.74193548373577</v>
      </c>
      <c r="T692" s="2">
        <v>45044.208333333336</v>
      </c>
      <c r="U692" t="s">
        <v>28</v>
      </c>
      <c r="V692" t="s">
        <v>38</v>
      </c>
      <c r="W692" t="s">
        <v>43</v>
      </c>
      <c r="X692">
        <v>11</v>
      </c>
      <c r="Y692">
        <v>12</v>
      </c>
      <c r="Z692" t="s">
        <v>68</v>
      </c>
    </row>
    <row r="693" spans="1:26">
      <c r="A693" t="s">
        <v>750</v>
      </c>
      <c r="B693">
        <v>26</v>
      </c>
      <c r="C693" t="str">
        <f t="shared" si="50"/>
        <v>18-35</v>
      </c>
      <c r="D693" t="s">
        <v>45</v>
      </c>
      <c r="E693" s="2">
        <v>45325</v>
      </c>
      <c r="F693" s="2" t="str">
        <f t="shared" ca="1" si="51"/>
        <v>No</v>
      </c>
      <c r="G693" s="2" t="str">
        <f t="shared" si="52"/>
        <v>Feb-2024</v>
      </c>
      <c r="H693" s="2">
        <v>45446</v>
      </c>
      <c r="I693">
        <v>4</v>
      </c>
      <c r="J693" t="s">
        <v>23</v>
      </c>
      <c r="K693">
        <v>2</v>
      </c>
      <c r="L693" t="s">
        <v>35</v>
      </c>
      <c r="M693" s="9">
        <v>9725</v>
      </c>
      <c r="N693" t="s">
        <v>53</v>
      </c>
      <c r="O693" t="s">
        <v>54</v>
      </c>
      <c r="P693" t="s">
        <v>41</v>
      </c>
      <c r="Q693" s="2">
        <v>45350</v>
      </c>
      <c r="R693" s="13">
        <f t="shared" si="53"/>
        <v>2039.9999999965075</v>
      </c>
      <c r="S693" s="13">
        <f t="shared" si="54"/>
        <v>-129.12621359210868</v>
      </c>
      <c r="T693" s="2">
        <v>45351.416666666664</v>
      </c>
      <c r="U693" t="s">
        <v>55</v>
      </c>
      <c r="V693" t="s">
        <v>29</v>
      </c>
      <c r="W693" t="s">
        <v>43</v>
      </c>
      <c r="X693">
        <v>11</v>
      </c>
      <c r="Y693">
        <v>8</v>
      </c>
      <c r="Z693" t="s">
        <v>31</v>
      </c>
    </row>
    <row r="694" spans="1:26">
      <c r="A694" t="s">
        <v>751</v>
      </c>
      <c r="B694">
        <v>63</v>
      </c>
      <c r="C694" t="str">
        <f t="shared" si="50"/>
        <v>51-65</v>
      </c>
      <c r="D694" t="s">
        <v>62</v>
      </c>
      <c r="E694" s="2">
        <v>45158</v>
      </c>
      <c r="F694" s="2" t="str">
        <f t="shared" ca="1" si="51"/>
        <v>No</v>
      </c>
      <c r="G694" s="2" t="str">
        <f t="shared" si="52"/>
        <v>Aug-2023</v>
      </c>
      <c r="H694" s="2">
        <v>45164</v>
      </c>
      <c r="I694">
        <v>6</v>
      </c>
      <c r="J694" t="s">
        <v>23</v>
      </c>
      <c r="K694">
        <v>3</v>
      </c>
      <c r="L694" t="s">
        <v>71</v>
      </c>
      <c r="M694" s="9">
        <v>48205</v>
      </c>
      <c r="N694" t="s">
        <v>36</v>
      </c>
      <c r="O694" t="s">
        <v>26</v>
      </c>
      <c r="P694" t="s">
        <v>41</v>
      </c>
      <c r="Q694" s="2">
        <v>45157</v>
      </c>
      <c r="R694" s="13">
        <f t="shared" si="53"/>
        <v>59.99999999650754</v>
      </c>
      <c r="S694" s="13">
        <f t="shared" si="54"/>
        <v>-136.16883116869511</v>
      </c>
      <c r="T694" s="2">
        <v>45157.041666666664</v>
      </c>
      <c r="U694" t="s">
        <v>42</v>
      </c>
      <c r="V694" t="s">
        <v>29</v>
      </c>
      <c r="W694" t="s">
        <v>43</v>
      </c>
      <c r="X694">
        <v>5</v>
      </c>
      <c r="Y694">
        <v>10</v>
      </c>
      <c r="Z694" t="s">
        <v>68</v>
      </c>
    </row>
    <row r="695" spans="1:26">
      <c r="A695" t="s">
        <v>752</v>
      </c>
      <c r="B695">
        <v>89</v>
      </c>
      <c r="C695" t="str">
        <f t="shared" si="50"/>
        <v>66+</v>
      </c>
      <c r="D695" t="s">
        <v>41</v>
      </c>
      <c r="E695" s="2">
        <v>45462</v>
      </c>
      <c r="F695" s="2" t="str">
        <f t="shared" ca="1" si="51"/>
        <v>No</v>
      </c>
      <c r="G695" s="2" t="str">
        <f t="shared" si="52"/>
        <v>Jun-2024</v>
      </c>
      <c r="H695" s="2">
        <v>45473</v>
      </c>
      <c r="I695">
        <v>11</v>
      </c>
      <c r="J695" t="s">
        <v>50</v>
      </c>
      <c r="K695">
        <v>3</v>
      </c>
      <c r="L695" t="s">
        <v>35</v>
      </c>
      <c r="M695" s="9">
        <v>25684</v>
      </c>
      <c r="N695" t="s">
        <v>67</v>
      </c>
      <c r="O695" t="s">
        <v>54</v>
      </c>
      <c r="P695" t="s">
        <v>27</v>
      </c>
      <c r="Q695" s="2">
        <v>45461</v>
      </c>
      <c r="R695" s="13">
        <f t="shared" si="53"/>
        <v>1440</v>
      </c>
      <c r="S695" s="13">
        <f t="shared" si="54"/>
        <v>-136.80781758942865</v>
      </c>
      <c r="T695" s="2">
        <v>45462</v>
      </c>
      <c r="U695" t="s">
        <v>37</v>
      </c>
      <c r="V695" t="s">
        <v>29</v>
      </c>
      <c r="W695" t="s">
        <v>47</v>
      </c>
      <c r="X695">
        <v>6</v>
      </c>
      <c r="Y695">
        <v>12</v>
      </c>
      <c r="Z695" t="s">
        <v>68</v>
      </c>
    </row>
    <row r="696" spans="1:26">
      <c r="A696" t="s">
        <v>753</v>
      </c>
      <c r="B696">
        <v>86</v>
      </c>
      <c r="C696" t="str">
        <f t="shared" si="50"/>
        <v>66+</v>
      </c>
      <c r="D696" t="s">
        <v>52</v>
      </c>
      <c r="E696" s="2">
        <v>45316</v>
      </c>
      <c r="F696" s="2" t="str">
        <f t="shared" ca="1" si="51"/>
        <v>No</v>
      </c>
      <c r="G696" s="2" t="str">
        <f t="shared" si="52"/>
        <v>Jan-2024</v>
      </c>
      <c r="H696" s="2">
        <v>45384</v>
      </c>
      <c r="I696">
        <v>10</v>
      </c>
      <c r="J696" t="s">
        <v>40</v>
      </c>
      <c r="K696">
        <v>2</v>
      </c>
      <c r="L696" t="s">
        <v>35</v>
      </c>
      <c r="M696" s="9">
        <v>31325</v>
      </c>
      <c r="N696" t="s">
        <v>60</v>
      </c>
      <c r="O696" t="s">
        <v>54</v>
      </c>
      <c r="P696" t="s">
        <v>27</v>
      </c>
      <c r="Q696" s="2">
        <v>45313</v>
      </c>
      <c r="R696" s="13">
        <f t="shared" si="53"/>
        <v>1260</v>
      </c>
      <c r="S696" s="13">
        <f t="shared" si="54"/>
        <v>-141.96078431357711</v>
      </c>
      <c r="T696" s="2">
        <v>45313.875</v>
      </c>
      <c r="U696" t="s">
        <v>28</v>
      </c>
      <c r="V696" t="s">
        <v>29</v>
      </c>
      <c r="W696" t="s">
        <v>47</v>
      </c>
      <c r="X696">
        <v>11</v>
      </c>
      <c r="Y696">
        <v>8</v>
      </c>
      <c r="Z696" t="s">
        <v>31</v>
      </c>
    </row>
    <row r="697" spans="1:26">
      <c r="A697" t="s">
        <v>754</v>
      </c>
      <c r="B697">
        <v>59</v>
      </c>
      <c r="C697" t="str">
        <f t="shared" si="50"/>
        <v>51-65</v>
      </c>
      <c r="D697" t="s">
        <v>33</v>
      </c>
      <c r="E697" s="2">
        <v>45447</v>
      </c>
      <c r="F697" s="2" t="str">
        <f t="shared" ca="1" si="51"/>
        <v>No</v>
      </c>
      <c r="G697" s="2" t="str">
        <f t="shared" si="52"/>
        <v>Jun-2024</v>
      </c>
      <c r="H697" s="2">
        <v>45396</v>
      </c>
      <c r="I697">
        <v>8</v>
      </c>
      <c r="J697" t="s">
        <v>34</v>
      </c>
      <c r="K697">
        <v>2</v>
      </c>
      <c r="L697" t="s">
        <v>35</v>
      </c>
      <c r="M697" s="9">
        <v>37542</v>
      </c>
      <c r="N697" t="s">
        <v>67</v>
      </c>
      <c r="O697" t="s">
        <v>54</v>
      </c>
      <c r="P697" t="s">
        <v>27</v>
      </c>
      <c r="Q697" s="2">
        <v>45386</v>
      </c>
      <c r="R697" s="13">
        <f t="shared" si="53"/>
        <v>540</v>
      </c>
      <c r="S697" s="13">
        <f t="shared" si="54"/>
        <v>-146.55737704903146</v>
      </c>
      <c r="T697" s="2">
        <v>45386.375</v>
      </c>
      <c r="U697" t="s">
        <v>55</v>
      </c>
      <c r="V697" t="s">
        <v>29</v>
      </c>
      <c r="W697" t="s">
        <v>43</v>
      </c>
      <c r="X697">
        <v>4</v>
      </c>
      <c r="Y697">
        <v>10</v>
      </c>
      <c r="Z697" t="s">
        <v>48</v>
      </c>
    </row>
    <row r="698" spans="1:26">
      <c r="A698" t="s">
        <v>755</v>
      </c>
      <c r="B698">
        <v>27</v>
      </c>
      <c r="C698" t="str">
        <f t="shared" si="50"/>
        <v>18-35</v>
      </c>
      <c r="D698" t="s">
        <v>62</v>
      </c>
      <c r="E698" s="2">
        <v>45380</v>
      </c>
      <c r="F698" s="2" t="str">
        <f t="shared" ca="1" si="51"/>
        <v>No</v>
      </c>
      <c r="G698" s="2" t="str">
        <f t="shared" si="52"/>
        <v>Mar-2024</v>
      </c>
      <c r="H698" s="2">
        <v>45447</v>
      </c>
      <c r="I698">
        <v>8</v>
      </c>
      <c r="J698" t="s">
        <v>40</v>
      </c>
      <c r="K698">
        <v>5</v>
      </c>
      <c r="L698" t="s">
        <v>24</v>
      </c>
      <c r="M698" s="9">
        <v>18092</v>
      </c>
      <c r="N698" t="s">
        <v>53</v>
      </c>
      <c r="O698" t="s">
        <v>54</v>
      </c>
      <c r="P698" t="s">
        <v>27</v>
      </c>
      <c r="Q698" s="2">
        <v>45379</v>
      </c>
      <c r="R698" s="13">
        <f t="shared" si="53"/>
        <v>1499.9999999965075</v>
      </c>
      <c r="S698" s="13">
        <f t="shared" si="54"/>
        <v>-148.81578947353486</v>
      </c>
      <c r="T698" s="2">
        <v>45380.041666666664</v>
      </c>
      <c r="U698" t="s">
        <v>37</v>
      </c>
      <c r="V698" t="s">
        <v>29</v>
      </c>
      <c r="W698" t="s">
        <v>43</v>
      </c>
      <c r="X698">
        <v>5</v>
      </c>
      <c r="Y698">
        <v>10</v>
      </c>
      <c r="Z698" t="s">
        <v>31</v>
      </c>
    </row>
    <row r="699" spans="1:26">
      <c r="A699" t="s">
        <v>756</v>
      </c>
      <c r="B699">
        <v>49</v>
      </c>
      <c r="C699" t="str">
        <f t="shared" si="50"/>
        <v>36-50</v>
      </c>
      <c r="D699" t="s">
        <v>22</v>
      </c>
      <c r="E699" s="2">
        <v>44937</v>
      </c>
      <c r="F699" s="2" t="str">
        <f t="shared" ca="1" si="51"/>
        <v>No</v>
      </c>
      <c r="G699" s="2" t="str">
        <f t="shared" si="52"/>
        <v>Jan-2023</v>
      </c>
      <c r="H699" s="2">
        <v>45244</v>
      </c>
      <c r="I699">
        <v>13</v>
      </c>
      <c r="J699" t="s">
        <v>23</v>
      </c>
      <c r="K699">
        <v>4</v>
      </c>
      <c r="L699" t="s">
        <v>46</v>
      </c>
      <c r="M699" s="9">
        <v>35382</v>
      </c>
      <c r="N699" t="s">
        <v>36</v>
      </c>
      <c r="O699" t="s">
        <v>26</v>
      </c>
      <c r="P699" t="s">
        <v>27</v>
      </c>
      <c r="Q699" s="2">
        <v>45229</v>
      </c>
      <c r="R699" s="13">
        <f t="shared" si="53"/>
        <v>2219.9999999965075</v>
      </c>
      <c r="S699" s="13">
        <f t="shared" si="54"/>
        <v>-154.25742574241289</v>
      </c>
      <c r="T699" s="2">
        <v>45230.541666666664</v>
      </c>
      <c r="U699" t="s">
        <v>37</v>
      </c>
      <c r="V699" t="s">
        <v>29</v>
      </c>
      <c r="W699" t="s">
        <v>43</v>
      </c>
      <c r="X699">
        <v>6</v>
      </c>
      <c r="Y699">
        <v>8</v>
      </c>
      <c r="Z699" t="s">
        <v>68</v>
      </c>
    </row>
    <row r="700" spans="1:26">
      <c r="A700" t="s">
        <v>757</v>
      </c>
      <c r="B700">
        <v>77</v>
      </c>
      <c r="C700" t="str">
        <f t="shared" si="50"/>
        <v>66+</v>
      </c>
      <c r="D700" t="s">
        <v>41</v>
      </c>
      <c r="E700" s="2">
        <v>45366</v>
      </c>
      <c r="F700" s="2" t="str">
        <f t="shared" ca="1" si="51"/>
        <v>No</v>
      </c>
      <c r="G700" s="2" t="str">
        <f t="shared" si="52"/>
        <v>Mar-2024</v>
      </c>
      <c r="H700" s="2">
        <v>45371</v>
      </c>
      <c r="I700">
        <v>5</v>
      </c>
      <c r="J700" t="s">
        <v>23</v>
      </c>
      <c r="K700">
        <v>1</v>
      </c>
      <c r="L700" t="s">
        <v>24</v>
      </c>
      <c r="M700" s="9">
        <v>44770</v>
      </c>
      <c r="N700" t="s">
        <v>53</v>
      </c>
      <c r="O700" t="s">
        <v>54</v>
      </c>
      <c r="P700" t="s">
        <v>27</v>
      </c>
      <c r="Q700" s="2">
        <v>45365</v>
      </c>
      <c r="R700" s="13">
        <f t="shared" si="53"/>
        <v>1620</v>
      </c>
      <c r="S700" s="13">
        <f t="shared" si="54"/>
        <v>-162.11920529783978</v>
      </c>
      <c r="T700" s="2">
        <v>45366.125</v>
      </c>
      <c r="U700" t="s">
        <v>42</v>
      </c>
      <c r="V700" t="s">
        <v>29</v>
      </c>
      <c r="W700" t="s">
        <v>43</v>
      </c>
      <c r="X700">
        <v>4</v>
      </c>
      <c r="Y700">
        <v>12</v>
      </c>
      <c r="Z700" t="s">
        <v>31</v>
      </c>
    </row>
    <row r="701" spans="1:26">
      <c r="A701" t="s">
        <v>758</v>
      </c>
      <c r="B701">
        <v>33</v>
      </c>
      <c r="C701" t="str">
        <f t="shared" si="50"/>
        <v>18-35</v>
      </c>
      <c r="D701" t="s">
        <v>52</v>
      </c>
      <c r="E701" s="2">
        <v>45180</v>
      </c>
      <c r="F701" s="2" t="str">
        <f t="shared" ca="1" si="51"/>
        <v>No</v>
      </c>
      <c r="G701" s="2" t="str">
        <f t="shared" si="52"/>
        <v>Sep-2023</v>
      </c>
      <c r="H701" s="2">
        <v>45252</v>
      </c>
      <c r="I701">
        <v>13</v>
      </c>
      <c r="J701" t="s">
        <v>63</v>
      </c>
      <c r="K701">
        <v>1</v>
      </c>
      <c r="L701" t="s">
        <v>24</v>
      </c>
      <c r="M701" s="9">
        <v>30457</v>
      </c>
      <c r="N701" t="s">
        <v>67</v>
      </c>
      <c r="O701" t="s">
        <v>54</v>
      </c>
      <c r="P701" t="s">
        <v>27</v>
      </c>
      <c r="Q701" s="2">
        <v>45027</v>
      </c>
      <c r="R701" s="13">
        <f t="shared" si="53"/>
        <v>43200</v>
      </c>
      <c r="S701" s="13">
        <f t="shared" si="54"/>
        <v>-168.03986710946052</v>
      </c>
      <c r="T701" s="2">
        <v>45057</v>
      </c>
      <c r="U701" t="s">
        <v>28</v>
      </c>
      <c r="V701" t="s">
        <v>29</v>
      </c>
      <c r="W701" t="s">
        <v>30</v>
      </c>
      <c r="X701">
        <v>7</v>
      </c>
      <c r="Y701">
        <v>10</v>
      </c>
      <c r="Z701" t="s">
        <v>68</v>
      </c>
    </row>
    <row r="702" spans="1:26">
      <c r="A702" t="s">
        <v>759</v>
      </c>
      <c r="B702">
        <v>1</v>
      </c>
      <c r="C702" t="str">
        <f t="shared" si="50"/>
        <v>0-17</v>
      </c>
      <c r="D702" t="s">
        <v>45</v>
      </c>
      <c r="E702" s="2">
        <v>44988</v>
      </c>
      <c r="F702" s="2" t="str">
        <f t="shared" ca="1" si="51"/>
        <v>No</v>
      </c>
      <c r="G702" s="2" t="str">
        <f t="shared" si="52"/>
        <v>Mar-2023</v>
      </c>
      <c r="H702" s="2">
        <v>45202</v>
      </c>
      <c r="I702">
        <v>7</v>
      </c>
      <c r="J702" t="s">
        <v>50</v>
      </c>
      <c r="K702">
        <v>3</v>
      </c>
      <c r="L702" t="s">
        <v>35</v>
      </c>
      <c r="M702" s="9">
        <v>11131</v>
      </c>
      <c r="N702" t="s">
        <v>36</v>
      </c>
      <c r="O702" t="s">
        <v>54</v>
      </c>
      <c r="P702" t="s">
        <v>27</v>
      </c>
      <c r="Q702" s="2">
        <v>44988</v>
      </c>
      <c r="R702" s="13">
        <f t="shared" si="53"/>
        <v>45300.000000003492</v>
      </c>
      <c r="S702" s="13">
        <f t="shared" si="54"/>
        <v>-312.5999999998254</v>
      </c>
      <c r="T702" s="2">
        <v>45019.458333333336</v>
      </c>
      <c r="U702" t="s">
        <v>64</v>
      </c>
      <c r="V702" t="s">
        <v>29</v>
      </c>
      <c r="W702" t="s">
        <v>30</v>
      </c>
      <c r="X702">
        <v>10</v>
      </c>
      <c r="Y702">
        <v>10</v>
      </c>
      <c r="Z702" t="s">
        <v>68</v>
      </c>
    </row>
    <row r="703" spans="1:26">
      <c r="A703" t="s">
        <v>760</v>
      </c>
      <c r="B703">
        <v>21</v>
      </c>
      <c r="C703" t="str">
        <f t="shared" si="50"/>
        <v>18-35</v>
      </c>
      <c r="D703" t="s">
        <v>52</v>
      </c>
      <c r="E703" s="2">
        <v>45264</v>
      </c>
      <c r="F703" s="2" t="str">
        <f t="shared" ca="1" si="51"/>
        <v>No</v>
      </c>
      <c r="G703" s="2" t="str">
        <f t="shared" si="52"/>
        <v>Dec-2023</v>
      </c>
      <c r="H703" s="2">
        <v>45037</v>
      </c>
      <c r="I703">
        <v>9</v>
      </c>
      <c r="J703" t="s">
        <v>63</v>
      </c>
      <c r="K703">
        <v>5</v>
      </c>
      <c r="L703" t="s">
        <v>24</v>
      </c>
      <c r="M703" s="9">
        <v>30215</v>
      </c>
      <c r="N703" t="s">
        <v>36</v>
      </c>
      <c r="O703" t="s">
        <v>54</v>
      </c>
      <c r="P703" t="s">
        <v>27</v>
      </c>
      <c r="Q703" s="2">
        <v>45264</v>
      </c>
      <c r="R703" s="13">
        <f t="shared" si="53"/>
        <v>-337199.99999999651</v>
      </c>
      <c r="S703" s="13">
        <f t="shared" si="54"/>
        <v>-465.15050167207727</v>
      </c>
      <c r="T703" s="2">
        <v>45029.833333333336</v>
      </c>
      <c r="U703" t="s">
        <v>37</v>
      </c>
      <c r="V703" t="s">
        <v>29</v>
      </c>
      <c r="W703" t="s">
        <v>30</v>
      </c>
      <c r="X703">
        <v>10</v>
      </c>
      <c r="Y703">
        <v>10</v>
      </c>
      <c r="Z703" t="s">
        <v>31</v>
      </c>
    </row>
    <row r="704" spans="1:26">
      <c r="A704" t="s">
        <v>761</v>
      </c>
      <c r="B704">
        <v>55</v>
      </c>
      <c r="C704" t="str">
        <f t="shared" si="50"/>
        <v>51-65</v>
      </c>
      <c r="D704" t="s">
        <v>22</v>
      </c>
      <c r="E704" s="2">
        <v>44934</v>
      </c>
      <c r="F704" s="2" t="str">
        <f t="shared" ca="1" si="51"/>
        <v>No</v>
      </c>
      <c r="G704" s="2" t="str">
        <f t="shared" si="52"/>
        <v>Jan-2023</v>
      </c>
      <c r="H704" s="2">
        <v>45207</v>
      </c>
      <c r="I704">
        <v>9</v>
      </c>
      <c r="J704" t="s">
        <v>63</v>
      </c>
      <c r="K704">
        <v>3</v>
      </c>
      <c r="L704" t="s">
        <v>35</v>
      </c>
      <c r="M704" s="9">
        <v>17612</v>
      </c>
      <c r="N704" t="s">
        <v>53</v>
      </c>
      <c r="O704" t="s">
        <v>54</v>
      </c>
      <c r="P704" t="s">
        <v>41</v>
      </c>
      <c r="Q704" s="2">
        <v>45134</v>
      </c>
      <c r="R704" s="13">
        <f t="shared" si="53"/>
        <v>720</v>
      </c>
      <c r="S704" s="13">
        <f t="shared" si="54"/>
        <v>664.83221476525307</v>
      </c>
      <c r="T704" s="2">
        <v>45134.5</v>
      </c>
      <c r="U704" t="s">
        <v>55</v>
      </c>
      <c r="V704" t="s">
        <v>29</v>
      </c>
      <c r="W704" t="s">
        <v>47</v>
      </c>
      <c r="X704">
        <v>8</v>
      </c>
      <c r="Y704">
        <v>10</v>
      </c>
      <c r="Z704" t="s">
        <v>68</v>
      </c>
    </row>
    <row r="705" spans="1:26">
      <c r="A705" t="s">
        <v>762</v>
      </c>
      <c r="B705">
        <v>6</v>
      </c>
      <c r="C705" t="str">
        <f t="shared" si="50"/>
        <v>0-17</v>
      </c>
      <c r="D705" t="s">
        <v>33</v>
      </c>
      <c r="E705" s="2">
        <v>45054</v>
      </c>
      <c r="F705" s="2" t="str">
        <f t="shared" ca="1" si="51"/>
        <v>No</v>
      </c>
      <c r="G705" s="2" t="str">
        <f t="shared" si="52"/>
        <v>May-2023</v>
      </c>
      <c r="H705" s="2">
        <v>45268</v>
      </c>
      <c r="I705">
        <v>7</v>
      </c>
      <c r="J705" t="s">
        <v>63</v>
      </c>
      <c r="K705">
        <v>1</v>
      </c>
      <c r="L705" t="s">
        <v>46</v>
      </c>
      <c r="M705" s="9">
        <v>42305</v>
      </c>
      <c r="N705" t="s">
        <v>60</v>
      </c>
      <c r="O705" t="s">
        <v>54</v>
      </c>
      <c r="P705" t="s">
        <v>41</v>
      </c>
      <c r="Q705" s="2">
        <v>44965</v>
      </c>
      <c r="R705" s="13">
        <f t="shared" si="53"/>
        <v>40739.999999996508</v>
      </c>
      <c r="S705" s="13">
        <f t="shared" si="54"/>
        <v>664.64646464661746</v>
      </c>
      <c r="T705" s="2">
        <v>44993.291666666664</v>
      </c>
      <c r="U705" t="s">
        <v>42</v>
      </c>
      <c r="V705" t="s">
        <v>29</v>
      </c>
      <c r="W705" t="s">
        <v>43</v>
      </c>
      <c r="X705">
        <v>6</v>
      </c>
      <c r="Y705">
        <v>12</v>
      </c>
      <c r="Z705" t="s">
        <v>48</v>
      </c>
    </row>
    <row r="706" spans="1:26">
      <c r="A706" t="s">
        <v>763</v>
      </c>
      <c r="B706">
        <v>81</v>
      </c>
      <c r="C706" t="str">
        <f t="shared" si="50"/>
        <v>66+</v>
      </c>
      <c r="D706" t="s">
        <v>33</v>
      </c>
      <c r="E706" s="2">
        <v>45197</v>
      </c>
      <c r="F706" s="2" t="str">
        <f t="shared" ca="1" si="51"/>
        <v>No</v>
      </c>
      <c r="G706" s="2" t="str">
        <f t="shared" si="52"/>
        <v>Sep-2023</v>
      </c>
      <c r="H706" s="2">
        <v>44936</v>
      </c>
      <c r="I706">
        <v>3</v>
      </c>
      <c r="J706" t="s">
        <v>50</v>
      </c>
      <c r="K706">
        <v>2</v>
      </c>
      <c r="L706" t="s">
        <v>71</v>
      </c>
      <c r="M706" s="9">
        <v>18091</v>
      </c>
      <c r="N706" t="s">
        <v>67</v>
      </c>
      <c r="O706" t="s">
        <v>26</v>
      </c>
      <c r="P706" t="s">
        <v>27</v>
      </c>
      <c r="Q706" s="2">
        <v>45193</v>
      </c>
      <c r="R706" s="13">
        <f t="shared" si="53"/>
        <v>300.00000000349246</v>
      </c>
      <c r="S706" s="13">
        <f t="shared" si="54"/>
        <v>529.25675675692196</v>
      </c>
      <c r="T706" s="2">
        <v>45193.208333333336</v>
      </c>
      <c r="U706" t="s">
        <v>42</v>
      </c>
      <c r="V706" t="s">
        <v>38</v>
      </c>
      <c r="W706" t="s">
        <v>30</v>
      </c>
      <c r="X706">
        <v>4</v>
      </c>
      <c r="Y706">
        <v>8</v>
      </c>
      <c r="Z706" t="s">
        <v>68</v>
      </c>
    </row>
    <row r="707" spans="1:26">
      <c r="A707" t="s">
        <v>764</v>
      </c>
      <c r="B707">
        <v>69</v>
      </c>
      <c r="C707" t="str">
        <f t="shared" ref="C707:C770" si="55">IF(B707&lt;18,"0-17",IF(B707&lt;=35,"18-35",IF(B707&lt;=50,"36-50",IF(B707&lt;=65,"51-65","66+"))))</f>
        <v>66+</v>
      </c>
      <c r="D707" t="s">
        <v>41</v>
      </c>
      <c r="E707" s="2">
        <v>45010</v>
      </c>
      <c r="F707" s="2" t="str">
        <f t="shared" ref="F707:F770" ca="1" si="56">IF(E707&gt;=EDATE(TODAY(),-12),"Yes","No")</f>
        <v>No</v>
      </c>
      <c r="G707" s="2" t="str">
        <f t="shared" ref="G707:G770" si="57">TEXT(E707,"mmm-yyyy")</f>
        <v>Mar-2023</v>
      </c>
      <c r="H707" s="2">
        <v>45142</v>
      </c>
      <c r="I707">
        <v>14</v>
      </c>
      <c r="J707" t="s">
        <v>50</v>
      </c>
      <c r="K707">
        <v>4</v>
      </c>
      <c r="L707" t="s">
        <v>35</v>
      </c>
      <c r="M707" s="9">
        <v>40103</v>
      </c>
      <c r="N707" t="s">
        <v>25</v>
      </c>
      <c r="O707" t="s">
        <v>54</v>
      </c>
      <c r="P707" t="s">
        <v>41</v>
      </c>
      <c r="Q707" s="2">
        <v>45010</v>
      </c>
      <c r="R707" s="13">
        <f t="shared" ref="R707:R770" si="58">(T707-Q707)*1440</f>
        <v>120.00000000349246</v>
      </c>
      <c r="S707" s="13">
        <f t="shared" ref="S707:S770" si="59">AVERAGE(R707:R1205)</f>
        <v>530.03389830523861</v>
      </c>
      <c r="T707" s="2">
        <v>45010.083333333336</v>
      </c>
      <c r="U707" t="s">
        <v>37</v>
      </c>
      <c r="V707" t="s">
        <v>29</v>
      </c>
      <c r="W707" t="s">
        <v>43</v>
      </c>
      <c r="X707">
        <v>11</v>
      </c>
      <c r="Y707">
        <v>8</v>
      </c>
      <c r="Z707" t="s">
        <v>31</v>
      </c>
    </row>
    <row r="708" spans="1:26">
      <c r="A708" t="s">
        <v>765</v>
      </c>
      <c r="B708">
        <v>5</v>
      </c>
      <c r="C708" t="str">
        <f t="shared" si="55"/>
        <v>0-17</v>
      </c>
      <c r="D708" t="s">
        <v>33</v>
      </c>
      <c r="E708" s="2">
        <v>45205</v>
      </c>
      <c r="F708" s="2" t="str">
        <f t="shared" ca="1" si="56"/>
        <v>No</v>
      </c>
      <c r="G708" s="2" t="str">
        <f t="shared" si="57"/>
        <v>Oct-2023</v>
      </c>
      <c r="H708" s="2">
        <v>45091</v>
      </c>
      <c r="I708">
        <v>4</v>
      </c>
      <c r="J708" t="s">
        <v>57</v>
      </c>
      <c r="K708">
        <v>5</v>
      </c>
      <c r="L708" t="s">
        <v>46</v>
      </c>
      <c r="M708" s="9">
        <v>42089</v>
      </c>
      <c r="N708" t="s">
        <v>25</v>
      </c>
      <c r="O708" t="s">
        <v>54</v>
      </c>
      <c r="P708" t="s">
        <v>27</v>
      </c>
      <c r="Q708" s="2">
        <v>45175</v>
      </c>
      <c r="R708" s="13">
        <f t="shared" si="58"/>
        <v>44040.000000003492</v>
      </c>
      <c r="S708" s="13">
        <f t="shared" si="59"/>
        <v>531.42857142871401</v>
      </c>
      <c r="T708" s="2">
        <v>45205.583333333336</v>
      </c>
      <c r="U708" t="s">
        <v>37</v>
      </c>
      <c r="V708" t="s">
        <v>29</v>
      </c>
      <c r="W708" t="s">
        <v>43</v>
      </c>
      <c r="X708">
        <v>5</v>
      </c>
      <c r="Y708">
        <v>8</v>
      </c>
      <c r="Z708" t="s">
        <v>48</v>
      </c>
    </row>
    <row r="709" spans="1:26">
      <c r="A709" t="s">
        <v>766</v>
      </c>
      <c r="B709">
        <v>3</v>
      </c>
      <c r="C709" t="str">
        <f t="shared" si="55"/>
        <v>0-17</v>
      </c>
      <c r="D709" t="s">
        <v>41</v>
      </c>
      <c r="E709" s="2">
        <v>44994</v>
      </c>
      <c r="F709" s="2" t="str">
        <f t="shared" ca="1" si="56"/>
        <v>No</v>
      </c>
      <c r="G709" s="2" t="str">
        <f t="shared" si="57"/>
        <v>Mar-2023</v>
      </c>
      <c r="H709" s="2">
        <v>45185</v>
      </c>
      <c r="I709">
        <v>13</v>
      </c>
      <c r="J709" t="s">
        <v>40</v>
      </c>
      <c r="K709">
        <v>2</v>
      </c>
      <c r="L709" t="s">
        <v>71</v>
      </c>
      <c r="M709" s="9">
        <v>34759</v>
      </c>
      <c r="N709" t="s">
        <v>53</v>
      </c>
      <c r="O709" t="s">
        <v>54</v>
      </c>
      <c r="P709" t="s">
        <v>27</v>
      </c>
      <c r="Q709" s="2">
        <v>44966</v>
      </c>
      <c r="R709" s="13">
        <f t="shared" si="58"/>
        <v>300.00000000349246</v>
      </c>
      <c r="S709" s="13">
        <f t="shared" si="59"/>
        <v>382.93515358374884</v>
      </c>
      <c r="T709" s="2">
        <v>44966.208333333336</v>
      </c>
      <c r="U709" t="s">
        <v>37</v>
      </c>
      <c r="V709" t="s">
        <v>29</v>
      </c>
      <c r="W709" t="s">
        <v>47</v>
      </c>
      <c r="X709">
        <v>4</v>
      </c>
      <c r="Y709">
        <v>10</v>
      </c>
      <c r="Z709" t="s">
        <v>48</v>
      </c>
    </row>
    <row r="710" spans="1:26">
      <c r="A710" t="s">
        <v>767</v>
      </c>
      <c r="B710">
        <v>53</v>
      </c>
      <c r="C710" t="str">
        <f t="shared" si="55"/>
        <v>51-65</v>
      </c>
      <c r="D710" t="s">
        <v>41</v>
      </c>
      <c r="E710" s="2">
        <v>45104</v>
      </c>
      <c r="F710" s="2" t="str">
        <f t="shared" ca="1" si="56"/>
        <v>No</v>
      </c>
      <c r="G710" s="2" t="str">
        <f t="shared" si="57"/>
        <v>Jun-2023</v>
      </c>
      <c r="H710" s="2">
        <v>45114</v>
      </c>
      <c r="I710">
        <v>10</v>
      </c>
      <c r="J710" t="s">
        <v>40</v>
      </c>
      <c r="K710">
        <v>4</v>
      </c>
      <c r="L710" t="s">
        <v>66</v>
      </c>
      <c r="M710" s="9">
        <v>5559</v>
      </c>
      <c r="N710" t="s">
        <v>67</v>
      </c>
      <c r="O710" t="s">
        <v>26</v>
      </c>
      <c r="P710" t="s">
        <v>27</v>
      </c>
      <c r="Q710" s="2">
        <v>45104</v>
      </c>
      <c r="R710" s="13">
        <f t="shared" si="58"/>
        <v>59.99999999650754</v>
      </c>
      <c r="S710" s="13">
        <f t="shared" si="59"/>
        <v>383.21917808231137</v>
      </c>
      <c r="T710" s="2">
        <v>45104.041666666664</v>
      </c>
      <c r="U710" t="s">
        <v>64</v>
      </c>
      <c r="V710" t="s">
        <v>29</v>
      </c>
      <c r="W710" t="s">
        <v>47</v>
      </c>
      <c r="X710">
        <v>5</v>
      </c>
      <c r="Y710">
        <v>12</v>
      </c>
      <c r="Z710" t="s">
        <v>68</v>
      </c>
    </row>
    <row r="711" spans="1:26">
      <c r="A711" t="s">
        <v>768</v>
      </c>
      <c r="B711">
        <v>23</v>
      </c>
      <c r="C711" t="str">
        <f t="shared" si="55"/>
        <v>18-35</v>
      </c>
      <c r="D711" t="s">
        <v>41</v>
      </c>
      <c r="E711" s="2">
        <v>45003</v>
      </c>
      <c r="F711" s="2" t="str">
        <f t="shared" ca="1" si="56"/>
        <v>No</v>
      </c>
      <c r="G711" s="2" t="str">
        <f t="shared" si="57"/>
        <v>Mar-2023</v>
      </c>
      <c r="H711" s="2">
        <v>45006</v>
      </c>
      <c r="I711">
        <v>3</v>
      </c>
      <c r="J711" t="s">
        <v>57</v>
      </c>
      <c r="K711">
        <v>5</v>
      </c>
      <c r="L711" t="s">
        <v>35</v>
      </c>
      <c r="M711" s="9">
        <v>5713</v>
      </c>
      <c r="N711" t="s">
        <v>67</v>
      </c>
      <c r="O711" t="s">
        <v>54</v>
      </c>
      <c r="P711" t="s">
        <v>27</v>
      </c>
      <c r="Q711" s="2">
        <v>45003</v>
      </c>
      <c r="R711" s="13">
        <f t="shared" si="58"/>
        <v>1020.0000000034925</v>
      </c>
      <c r="S711" s="13">
        <f t="shared" si="59"/>
        <v>384.32989690734848</v>
      </c>
      <c r="T711" s="2">
        <v>45003.708333333336</v>
      </c>
      <c r="U711" t="s">
        <v>37</v>
      </c>
      <c r="V711" t="s">
        <v>29</v>
      </c>
      <c r="W711" t="s">
        <v>30</v>
      </c>
      <c r="X711">
        <v>10</v>
      </c>
      <c r="Y711">
        <v>8</v>
      </c>
      <c r="Z711" t="s">
        <v>31</v>
      </c>
    </row>
    <row r="712" spans="1:26">
      <c r="A712" t="s">
        <v>769</v>
      </c>
      <c r="B712">
        <v>53</v>
      </c>
      <c r="C712" t="str">
        <f t="shared" si="55"/>
        <v>51-65</v>
      </c>
      <c r="D712" t="s">
        <v>45</v>
      </c>
      <c r="E712" s="2">
        <v>45205</v>
      </c>
      <c r="F712" s="2" t="str">
        <f t="shared" ca="1" si="56"/>
        <v>No</v>
      </c>
      <c r="G712" s="2" t="str">
        <f t="shared" si="57"/>
        <v>Oct-2023</v>
      </c>
      <c r="H712" s="2">
        <v>45101</v>
      </c>
      <c r="I712">
        <v>14</v>
      </c>
      <c r="J712" t="s">
        <v>57</v>
      </c>
      <c r="K712">
        <v>5</v>
      </c>
      <c r="L712" t="s">
        <v>35</v>
      </c>
      <c r="M712" s="9">
        <v>42361</v>
      </c>
      <c r="N712" t="s">
        <v>53</v>
      </c>
      <c r="O712" t="s">
        <v>26</v>
      </c>
      <c r="P712" t="s">
        <v>41</v>
      </c>
      <c r="Q712" s="2">
        <v>45083</v>
      </c>
      <c r="R712" s="13">
        <f t="shared" si="58"/>
        <v>840.00000000349246</v>
      </c>
      <c r="S712" s="13">
        <f t="shared" si="59"/>
        <v>382.13793103460318</v>
      </c>
      <c r="T712" s="2">
        <v>45083.583333333336</v>
      </c>
      <c r="U712" t="s">
        <v>28</v>
      </c>
      <c r="V712" t="s">
        <v>29</v>
      </c>
      <c r="W712" t="s">
        <v>30</v>
      </c>
      <c r="X712">
        <v>8</v>
      </c>
      <c r="Y712">
        <v>12</v>
      </c>
      <c r="Z712" t="s">
        <v>68</v>
      </c>
    </row>
    <row r="713" spans="1:26">
      <c r="A713" t="s">
        <v>770</v>
      </c>
      <c r="B713">
        <v>37</v>
      </c>
      <c r="C713" t="str">
        <f t="shared" si="55"/>
        <v>36-50</v>
      </c>
      <c r="D713" t="s">
        <v>62</v>
      </c>
      <c r="E713" s="2">
        <v>44986</v>
      </c>
      <c r="F713" s="2" t="str">
        <f t="shared" ca="1" si="56"/>
        <v>No</v>
      </c>
      <c r="G713" s="2" t="str">
        <f t="shared" si="57"/>
        <v>Mar-2023</v>
      </c>
      <c r="H713" s="2">
        <v>45139</v>
      </c>
      <c r="I713">
        <v>5</v>
      </c>
      <c r="J713" t="s">
        <v>23</v>
      </c>
      <c r="K713">
        <v>1</v>
      </c>
      <c r="L713" t="s">
        <v>66</v>
      </c>
      <c r="M713" s="9">
        <v>20184</v>
      </c>
      <c r="N713" t="s">
        <v>67</v>
      </c>
      <c r="O713" t="s">
        <v>54</v>
      </c>
      <c r="P713" t="s">
        <v>27</v>
      </c>
      <c r="Q713" s="2">
        <v>44986</v>
      </c>
      <c r="R713" s="13">
        <f t="shared" si="58"/>
        <v>180</v>
      </c>
      <c r="S713" s="13">
        <f t="shared" si="59"/>
        <v>380.55363321810182</v>
      </c>
      <c r="T713" s="2">
        <v>44986.125</v>
      </c>
      <c r="U713" t="s">
        <v>55</v>
      </c>
      <c r="V713" t="s">
        <v>29</v>
      </c>
      <c r="W713" t="s">
        <v>47</v>
      </c>
      <c r="X713">
        <v>11</v>
      </c>
      <c r="Y713">
        <v>8</v>
      </c>
      <c r="Z713" t="s">
        <v>68</v>
      </c>
    </row>
    <row r="714" spans="1:26">
      <c r="A714" t="s">
        <v>771</v>
      </c>
      <c r="B714">
        <v>74</v>
      </c>
      <c r="C714" t="str">
        <f t="shared" si="55"/>
        <v>66+</v>
      </c>
      <c r="D714" t="s">
        <v>41</v>
      </c>
      <c r="E714" s="2">
        <v>45345</v>
      </c>
      <c r="F714" s="2" t="str">
        <f t="shared" ca="1" si="56"/>
        <v>No</v>
      </c>
      <c r="G714" s="2" t="str">
        <f t="shared" si="57"/>
        <v>Feb-2024</v>
      </c>
      <c r="H714" s="2">
        <v>45346</v>
      </c>
      <c r="I714">
        <v>1</v>
      </c>
      <c r="J714" t="s">
        <v>63</v>
      </c>
      <c r="K714">
        <v>2</v>
      </c>
      <c r="L714" t="s">
        <v>66</v>
      </c>
      <c r="M714" s="9">
        <v>20261</v>
      </c>
      <c r="N714" t="s">
        <v>60</v>
      </c>
      <c r="O714" t="s">
        <v>26</v>
      </c>
      <c r="P714" t="s">
        <v>27</v>
      </c>
      <c r="Q714" s="2">
        <v>45342</v>
      </c>
      <c r="R714" s="13">
        <f t="shared" si="58"/>
        <v>239.99999999650754</v>
      </c>
      <c r="S714" s="13">
        <f t="shared" si="59"/>
        <v>381.25000000010914</v>
      </c>
      <c r="T714" s="2">
        <v>45342.166666666664</v>
      </c>
      <c r="U714" t="s">
        <v>37</v>
      </c>
      <c r="V714" t="s">
        <v>29</v>
      </c>
      <c r="W714" t="s">
        <v>47</v>
      </c>
      <c r="X714">
        <v>8</v>
      </c>
      <c r="Y714">
        <v>10</v>
      </c>
      <c r="Z714" t="s">
        <v>31</v>
      </c>
    </row>
    <row r="715" spans="1:26">
      <c r="A715" t="s">
        <v>772</v>
      </c>
      <c r="B715">
        <v>74</v>
      </c>
      <c r="C715" t="str">
        <f t="shared" si="55"/>
        <v>66+</v>
      </c>
      <c r="D715" t="s">
        <v>41</v>
      </c>
      <c r="E715" s="2">
        <v>45447</v>
      </c>
      <c r="F715" s="2" t="str">
        <f t="shared" ca="1" si="56"/>
        <v>No</v>
      </c>
      <c r="G715" s="2" t="str">
        <f t="shared" si="57"/>
        <v>Jun-2024</v>
      </c>
      <c r="H715" s="2">
        <v>45399</v>
      </c>
      <c r="I715">
        <v>11</v>
      </c>
      <c r="J715" t="s">
        <v>57</v>
      </c>
      <c r="K715">
        <v>5</v>
      </c>
      <c r="L715" t="s">
        <v>35</v>
      </c>
      <c r="M715" s="9">
        <v>25372</v>
      </c>
      <c r="N715" t="s">
        <v>53</v>
      </c>
      <c r="O715" t="s">
        <v>54</v>
      </c>
      <c r="P715" t="s">
        <v>27</v>
      </c>
      <c r="Q715" s="2">
        <v>45326</v>
      </c>
      <c r="R715" s="13">
        <f t="shared" si="58"/>
        <v>41880.000000003492</v>
      </c>
      <c r="S715" s="13">
        <f t="shared" si="59"/>
        <v>381.74216027886735</v>
      </c>
      <c r="T715" s="2">
        <v>45355.083333333336</v>
      </c>
      <c r="U715" t="s">
        <v>64</v>
      </c>
      <c r="V715" t="s">
        <v>29</v>
      </c>
      <c r="W715" t="s">
        <v>43</v>
      </c>
      <c r="X715">
        <v>4</v>
      </c>
      <c r="Y715">
        <v>8</v>
      </c>
      <c r="Z715" t="s">
        <v>31</v>
      </c>
    </row>
    <row r="716" spans="1:26">
      <c r="A716" t="s">
        <v>773</v>
      </c>
      <c r="B716">
        <v>83</v>
      </c>
      <c r="C716" t="str">
        <f t="shared" si="55"/>
        <v>66+</v>
      </c>
      <c r="D716" t="s">
        <v>62</v>
      </c>
      <c r="E716" s="2">
        <v>45408</v>
      </c>
      <c r="F716" s="2" t="str">
        <f t="shared" ca="1" si="56"/>
        <v>No</v>
      </c>
      <c r="G716" s="2" t="str">
        <f t="shared" si="57"/>
        <v>Apr-2024</v>
      </c>
      <c r="H716" s="2">
        <v>45387</v>
      </c>
      <c r="I716">
        <v>8</v>
      </c>
      <c r="J716" t="s">
        <v>34</v>
      </c>
      <c r="K716">
        <v>5</v>
      </c>
      <c r="L716" t="s">
        <v>66</v>
      </c>
      <c r="M716" s="9">
        <v>37140</v>
      </c>
      <c r="N716" t="s">
        <v>60</v>
      </c>
      <c r="O716" t="s">
        <v>26</v>
      </c>
      <c r="P716" t="s">
        <v>27</v>
      </c>
      <c r="Q716" s="2">
        <v>45403</v>
      </c>
      <c r="R716" s="13">
        <f t="shared" si="58"/>
        <v>1980</v>
      </c>
      <c r="S716" s="13">
        <f t="shared" si="59"/>
        <v>236.64335664346655</v>
      </c>
      <c r="T716" s="2">
        <v>45404.375</v>
      </c>
      <c r="U716" t="s">
        <v>55</v>
      </c>
      <c r="V716" t="s">
        <v>29</v>
      </c>
      <c r="W716" t="s">
        <v>43</v>
      </c>
      <c r="X716">
        <v>4</v>
      </c>
      <c r="Y716">
        <v>10</v>
      </c>
      <c r="Z716" t="s">
        <v>68</v>
      </c>
    </row>
    <row r="717" spans="1:26">
      <c r="A717" t="s">
        <v>774</v>
      </c>
      <c r="B717">
        <v>17</v>
      </c>
      <c r="C717" t="str">
        <f t="shared" si="55"/>
        <v>0-17</v>
      </c>
      <c r="D717" t="s">
        <v>52</v>
      </c>
      <c r="E717" s="2">
        <v>45225</v>
      </c>
      <c r="F717" s="2" t="str">
        <f t="shared" ca="1" si="56"/>
        <v>No</v>
      </c>
      <c r="G717" s="2" t="str">
        <f t="shared" si="57"/>
        <v>Oct-2023</v>
      </c>
      <c r="H717" s="2">
        <v>45180</v>
      </c>
      <c r="I717">
        <v>14</v>
      </c>
      <c r="J717" t="s">
        <v>40</v>
      </c>
      <c r="K717">
        <v>4</v>
      </c>
      <c r="L717" t="s">
        <v>24</v>
      </c>
      <c r="M717" s="9">
        <v>38024</v>
      </c>
      <c r="N717" t="s">
        <v>67</v>
      </c>
      <c r="O717" t="s">
        <v>54</v>
      </c>
      <c r="P717" t="s">
        <v>27</v>
      </c>
      <c r="Q717" s="2">
        <v>45220</v>
      </c>
      <c r="R717" s="13">
        <f t="shared" si="58"/>
        <v>1139.9999999965075</v>
      </c>
      <c r="S717" s="13">
        <f t="shared" si="59"/>
        <v>230.52631578958398</v>
      </c>
      <c r="T717" s="2">
        <v>45220.791666666664</v>
      </c>
      <c r="U717" t="s">
        <v>42</v>
      </c>
      <c r="V717" t="s">
        <v>29</v>
      </c>
      <c r="W717" t="s">
        <v>30</v>
      </c>
      <c r="X717">
        <v>5</v>
      </c>
      <c r="Y717">
        <v>10</v>
      </c>
      <c r="Z717" t="s">
        <v>48</v>
      </c>
    </row>
    <row r="718" spans="1:26">
      <c r="A718" t="s">
        <v>775</v>
      </c>
      <c r="B718">
        <v>85</v>
      </c>
      <c r="C718" t="str">
        <f t="shared" si="55"/>
        <v>66+</v>
      </c>
      <c r="D718" t="s">
        <v>41</v>
      </c>
      <c r="E718" s="2">
        <v>44987</v>
      </c>
      <c r="F718" s="2" t="str">
        <f t="shared" ca="1" si="56"/>
        <v>No</v>
      </c>
      <c r="G718" s="2" t="str">
        <f t="shared" si="57"/>
        <v>Mar-2023</v>
      </c>
      <c r="H718" s="2">
        <v>45171</v>
      </c>
      <c r="I718">
        <v>6</v>
      </c>
      <c r="J718" t="s">
        <v>57</v>
      </c>
      <c r="K718">
        <v>1</v>
      </c>
      <c r="L718" t="s">
        <v>71</v>
      </c>
      <c r="M718" s="9">
        <v>37544</v>
      </c>
      <c r="N718" t="s">
        <v>53</v>
      </c>
      <c r="O718" t="s">
        <v>54</v>
      </c>
      <c r="P718" t="s">
        <v>27</v>
      </c>
      <c r="Q718" s="2">
        <v>44987</v>
      </c>
      <c r="R718" s="13">
        <f t="shared" si="58"/>
        <v>45660.000000003492</v>
      </c>
      <c r="S718" s="13">
        <f t="shared" si="59"/>
        <v>227.32394366209479</v>
      </c>
      <c r="T718" s="2">
        <v>45018.708333333336</v>
      </c>
      <c r="U718" t="s">
        <v>37</v>
      </c>
      <c r="V718" t="s">
        <v>29</v>
      </c>
      <c r="W718" t="s">
        <v>30</v>
      </c>
      <c r="X718">
        <v>5</v>
      </c>
      <c r="Y718">
        <v>8</v>
      </c>
      <c r="Z718" t="s">
        <v>68</v>
      </c>
    </row>
    <row r="719" spans="1:26">
      <c r="A719" t="s">
        <v>776</v>
      </c>
      <c r="B719">
        <v>78</v>
      </c>
      <c r="C719" t="str">
        <f t="shared" si="55"/>
        <v>66+</v>
      </c>
      <c r="D719" t="s">
        <v>45</v>
      </c>
      <c r="E719" s="2">
        <v>45164</v>
      </c>
      <c r="F719" s="2" t="str">
        <f t="shared" ca="1" si="56"/>
        <v>No</v>
      </c>
      <c r="G719" s="2" t="str">
        <f t="shared" si="57"/>
        <v>Aug-2023</v>
      </c>
      <c r="H719" s="2">
        <v>45025</v>
      </c>
      <c r="I719">
        <v>9</v>
      </c>
      <c r="J719" t="s">
        <v>34</v>
      </c>
      <c r="K719">
        <v>3</v>
      </c>
      <c r="L719" t="s">
        <v>71</v>
      </c>
      <c r="M719" s="9">
        <v>5037</v>
      </c>
      <c r="N719" t="s">
        <v>67</v>
      </c>
      <c r="O719" t="s">
        <v>26</v>
      </c>
      <c r="P719" t="s">
        <v>27</v>
      </c>
      <c r="Q719" s="2">
        <v>45163</v>
      </c>
      <c r="R719" s="13">
        <f t="shared" si="58"/>
        <v>2759.9999999965075</v>
      </c>
      <c r="S719" s="13">
        <f t="shared" si="59"/>
        <v>66.784452296930851</v>
      </c>
      <c r="T719" s="2">
        <v>45164.916666666664</v>
      </c>
      <c r="U719" t="s">
        <v>55</v>
      </c>
      <c r="V719" t="s">
        <v>29</v>
      </c>
      <c r="W719" t="s">
        <v>47</v>
      </c>
      <c r="X719">
        <v>6</v>
      </c>
      <c r="Y719">
        <v>12</v>
      </c>
      <c r="Z719" t="s">
        <v>48</v>
      </c>
    </row>
    <row r="720" spans="1:26">
      <c r="A720" t="s">
        <v>777</v>
      </c>
      <c r="B720">
        <v>73</v>
      </c>
      <c r="C720" t="str">
        <f t="shared" si="55"/>
        <v>66+</v>
      </c>
      <c r="D720" t="s">
        <v>33</v>
      </c>
      <c r="E720" s="2">
        <v>45222</v>
      </c>
      <c r="F720" s="2" t="str">
        <f t="shared" ca="1" si="56"/>
        <v>No</v>
      </c>
      <c r="G720" s="2" t="str">
        <f t="shared" si="57"/>
        <v>Oct-2023</v>
      </c>
      <c r="H720" s="2">
        <v>45118</v>
      </c>
      <c r="I720">
        <v>15</v>
      </c>
      <c r="J720" t="s">
        <v>34</v>
      </c>
      <c r="K720">
        <v>1</v>
      </c>
      <c r="L720" t="s">
        <v>71</v>
      </c>
      <c r="M720" s="9">
        <v>48032</v>
      </c>
      <c r="N720" t="s">
        <v>53</v>
      </c>
      <c r="O720" t="s">
        <v>54</v>
      </c>
      <c r="P720" t="s">
        <v>41</v>
      </c>
      <c r="Q720" s="2">
        <v>45217</v>
      </c>
      <c r="R720" s="13">
        <f t="shared" si="58"/>
        <v>1980</v>
      </c>
      <c r="S720" s="13">
        <f t="shared" si="59"/>
        <v>57.234042553315334</v>
      </c>
      <c r="T720" s="2">
        <v>45218.375</v>
      </c>
      <c r="U720" t="s">
        <v>42</v>
      </c>
      <c r="V720" t="s">
        <v>29</v>
      </c>
      <c r="W720" t="s">
        <v>30</v>
      </c>
      <c r="X720">
        <v>10</v>
      </c>
      <c r="Y720">
        <v>10</v>
      </c>
      <c r="Z720" t="s">
        <v>68</v>
      </c>
    </row>
    <row r="721" spans="1:26">
      <c r="A721" t="s">
        <v>778</v>
      </c>
      <c r="B721">
        <v>1</v>
      </c>
      <c r="C721" t="str">
        <f t="shared" si="55"/>
        <v>0-17</v>
      </c>
      <c r="D721" t="s">
        <v>33</v>
      </c>
      <c r="E721" s="2">
        <v>45216</v>
      </c>
      <c r="F721" s="2" t="str">
        <f t="shared" ca="1" si="56"/>
        <v>No</v>
      </c>
      <c r="G721" s="2" t="str">
        <f t="shared" si="57"/>
        <v>Oct-2023</v>
      </c>
      <c r="H721" s="2">
        <v>45218</v>
      </c>
      <c r="I721">
        <v>2</v>
      </c>
      <c r="J721" t="s">
        <v>34</v>
      </c>
      <c r="K721">
        <v>3</v>
      </c>
      <c r="L721" t="s">
        <v>24</v>
      </c>
      <c r="M721" s="9">
        <v>17697</v>
      </c>
      <c r="N721" t="s">
        <v>67</v>
      </c>
      <c r="O721" t="s">
        <v>26</v>
      </c>
      <c r="P721" t="s">
        <v>27</v>
      </c>
      <c r="Q721" s="2">
        <v>45216</v>
      </c>
      <c r="R721" s="13">
        <f t="shared" si="58"/>
        <v>1620</v>
      </c>
      <c r="S721" s="13">
        <f t="shared" si="59"/>
        <v>50.39145907485738</v>
      </c>
      <c r="T721" s="2">
        <v>45217.125</v>
      </c>
      <c r="U721" t="s">
        <v>64</v>
      </c>
      <c r="V721" t="s">
        <v>38</v>
      </c>
      <c r="W721" t="s">
        <v>43</v>
      </c>
      <c r="X721">
        <v>6</v>
      </c>
      <c r="Y721">
        <v>12</v>
      </c>
      <c r="Z721" t="s">
        <v>31</v>
      </c>
    </row>
    <row r="722" spans="1:26">
      <c r="A722" t="s">
        <v>779</v>
      </c>
      <c r="B722">
        <v>51</v>
      </c>
      <c r="C722" t="str">
        <f t="shared" si="55"/>
        <v>51-65</v>
      </c>
      <c r="D722" t="s">
        <v>22</v>
      </c>
      <c r="E722" s="2">
        <v>45539</v>
      </c>
      <c r="F722" s="2" t="str">
        <f t="shared" ca="1" si="56"/>
        <v>No</v>
      </c>
      <c r="G722" s="2" t="str">
        <f t="shared" si="57"/>
        <v>Sep-2024</v>
      </c>
      <c r="H722" s="2">
        <v>45403</v>
      </c>
      <c r="I722">
        <v>12</v>
      </c>
      <c r="J722" t="s">
        <v>23</v>
      </c>
      <c r="K722">
        <v>2</v>
      </c>
      <c r="L722" t="s">
        <v>66</v>
      </c>
      <c r="M722" s="9">
        <v>46420</v>
      </c>
      <c r="N722" t="s">
        <v>60</v>
      </c>
      <c r="O722" t="s">
        <v>54</v>
      </c>
      <c r="P722" t="s">
        <v>27</v>
      </c>
      <c r="Q722" s="2">
        <v>45447</v>
      </c>
      <c r="R722" s="13">
        <f t="shared" si="58"/>
        <v>43439.999999996508</v>
      </c>
      <c r="S722" s="13">
        <f t="shared" si="59"/>
        <v>44.785714285839013</v>
      </c>
      <c r="T722" s="2">
        <v>45477.166666666664</v>
      </c>
      <c r="U722" t="s">
        <v>28</v>
      </c>
      <c r="V722" t="s">
        <v>29</v>
      </c>
      <c r="W722" t="s">
        <v>47</v>
      </c>
      <c r="X722">
        <v>6</v>
      </c>
      <c r="Y722">
        <v>8</v>
      </c>
      <c r="Z722" t="s">
        <v>48</v>
      </c>
    </row>
    <row r="723" spans="1:26">
      <c r="A723" t="s">
        <v>780</v>
      </c>
      <c r="B723">
        <v>45</v>
      </c>
      <c r="C723" t="str">
        <f t="shared" si="55"/>
        <v>36-50</v>
      </c>
      <c r="D723" t="s">
        <v>22</v>
      </c>
      <c r="E723" s="2">
        <v>44999</v>
      </c>
      <c r="F723" s="2" t="str">
        <f t="shared" ca="1" si="56"/>
        <v>No</v>
      </c>
      <c r="G723" s="2" t="str">
        <f t="shared" si="57"/>
        <v>Mar-2023</v>
      </c>
      <c r="H723" s="2">
        <v>45013</v>
      </c>
      <c r="I723">
        <v>14</v>
      </c>
      <c r="J723" t="s">
        <v>23</v>
      </c>
      <c r="K723">
        <v>2</v>
      </c>
      <c r="L723" t="s">
        <v>46</v>
      </c>
      <c r="M723" s="9">
        <v>36707</v>
      </c>
      <c r="N723" t="s">
        <v>60</v>
      </c>
      <c r="O723" t="s">
        <v>26</v>
      </c>
      <c r="P723" t="s">
        <v>27</v>
      </c>
      <c r="Q723" s="2">
        <v>45233</v>
      </c>
      <c r="R723" s="13">
        <f t="shared" si="58"/>
        <v>44460</v>
      </c>
      <c r="S723" s="13">
        <f t="shared" si="59"/>
        <v>-110.75268817190532</v>
      </c>
      <c r="T723" s="2">
        <v>45263.875</v>
      </c>
      <c r="U723" t="s">
        <v>37</v>
      </c>
      <c r="V723" t="s">
        <v>29</v>
      </c>
      <c r="W723" t="s">
        <v>43</v>
      </c>
      <c r="X723">
        <v>4</v>
      </c>
      <c r="Y723">
        <v>10</v>
      </c>
      <c r="Z723" t="s">
        <v>31</v>
      </c>
    </row>
    <row r="724" spans="1:26">
      <c r="A724" t="s">
        <v>781</v>
      </c>
      <c r="B724">
        <v>77</v>
      </c>
      <c r="C724" t="str">
        <f t="shared" si="55"/>
        <v>66+</v>
      </c>
      <c r="D724" t="s">
        <v>33</v>
      </c>
      <c r="E724" s="2">
        <v>45166</v>
      </c>
      <c r="F724" s="2" t="str">
        <f t="shared" ca="1" si="56"/>
        <v>No</v>
      </c>
      <c r="G724" s="2" t="str">
        <f t="shared" si="57"/>
        <v>Aug-2023</v>
      </c>
      <c r="H724" s="2">
        <v>45086</v>
      </c>
      <c r="I724">
        <v>9</v>
      </c>
      <c r="J724" t="s">
        <v>34</v>
      </c>
      <c r="K724">
        <v>5</v>
      </c>
      <c r="L724" t="s">
        <v>66</v>
      </c>
      <c r="M724" s="9">
        <v>31016</v>
      </c>
      <c r="N724" t="s">
        <v>67</v>
      </c>
      <c r="O724" t="s">
        <v>26</v>
      </c>
      <c r="P724" t="s">
        <v>27</v>
      </c>
      <c r="Q724" s="2">
        <v>45165</v>
      </c>
      <c r="R724" s="13">
        <f t="shared" si="58"/>
        <v>1560.0000000034925</v>
      </c>
      <c r="S724" s="13">
        <f t="shared" si="59"/>
        <v>-271.0791366905093</v>
      </c>
      <c r="T724" s="2">
        <v>45166.083333333336</v>
      </c>
      <c r="U724" t="s">
        <v>28</v>
      </c>
      <c r="V724" t="s">
        <v>29</v>
      </c>
      <c r="W724" t="s">
        <v>47</v>
      </c>
      <c r="X724">
        <v>9</v>
      </c>
      <c r="Y724">
        <v>12</v>
      </c>
      <c r="Z724" t="s">
        <v>31</v>
      </c>
    </row>
    <row r="725" spans="1:26">
      <c r="A725" t="s">
        <v>782</v>
      </c>
      <c r="B725">
        <v>4</v>
      </c>
      <c r="C725" t="str">
        <f t="shared" si="55"/>
        <v>0-17</v>
      </c>
      <c r="D725" t="s">
        <v>33</v>
      </c>
      <c r="E725" s="2">
        <v>45197</v>
      </c>
      <c r="F725" s="2" t="str">
        <f t="shared" ca="1" si="56"/>
        <v>No</v>
      </c>
      <c r="G725" s="2" t="str">
        <f t="shared" si="57"/>
        <v>Sep-2023</v>
      </c>
      <c r="H725" s="2">
        <v>45270</v>
      </c>
      <c r="I725">
        <v>14</v>
      </c>
      <c r="J725" t="s">
        <v>23</v>
      </c>
      <c r="K725">
        <v>2</v>
      </c>
      <c r="L725" t="s">
        <v>35</v>
      </c>
      <c r="M725" s="9">
        <v>39600</v>
      </c>
      <c r="N725" t="s">
        <v>53</v>
      </c>
      <c r="O725" t="s">
        <v>26</v>
      </c>
      <c r="P725" t="s">
        <v>27</v>
      </c>
      <c r="Q725" s="2">
        <v>45193</v>
      </c>
      <c r="R725" s="13">
        <f t="shared" si="58"/>
        <v>360</v>
      </c>
      <c r="S725" s="13">
        <f t="shared" si="59"/>
        <v>-277.68953068579452</v>
      </c>
      <c r="T725" s="2">
        <v>45193.25</v>
      </c>
      <c r="U725" t="s">
        <v>64</v>
      </c>
      <c r="V725" t="s">
        <v>29</v>
      </c>
      <c r="W725" t="s">
        <v>47</v>
      </c>
      <c r="X725">
        <v>9</v>
      </c>
      <c r="Y725">
        <v>10</v>
      </c>
      <c r="Z725" t="s">
        <v>31</v>
      </c>
    </row>
    <row r="726" spans="1:26">
      <c r="A726" t="s">
        <v>783</v>
      </c>
      <c r="B726">
        <v>62</v>
      </c>
      <c r="C726" t="str">
        <f t="shared" si="55"/>
        <v>51-65</v>
      </c>
      <c r="D726" t="s">
        <v>45</v>
      </c>
      <c r="E726" s="2">
        <v>45129</v>
      </c>
      <c r="F726" s="2" t="str">
        <f t="shared" ca="1" si="56"/>
        <v>No</v>
      </c>
      <c r="G726" s="2" t="str">
        <f t="shared" si="57"/>
        <v>Jul-2023</v>
      </c>
      <c r="H726" s="2">
        <v>45131</v>
      </c>
      <c r="I726">
        <v>2</v>
      </c>
      <c r="J726" t="s">
        <v>63</v>
      </c>
      <c r="K726">
        <v>5</v>
      </c>
      <c r="L726" t="s">
        <v>71</v>
      </c>
      <c r="M726" s="9">
        <v>28984</v>
      </c>
      <c r="N726" t="s">
        <v>25</v>
      </c>
      <c r="O726" t="s">
        <v>26</v>
      </c>
      <c r="P726" t="s">
        <v>27</v>
      </c>
      <c r="Q726" s="2">
        <v>45128</v>
      </c>
      <c r="R726" s="13">
        <f t="shared" si="58"/>
        <v>2460.0000000034925</v>
      </c>
      <c r="S726" s="13">
        <f t="shared" si="59"/>
        <v>-279.99999999987347</v>
      </c>
      <c r="T726" s="2">
        <v>45129.708333333336</v>
      </c>
      <c r="U726" t="s">
        <v>55</v>
      </c>
      <c r="V726" t="s">
        <v>29</v>
      </c>
      <c r="W726" t="s">
        <v>43</v>
      </c>
      <c r="X726">
        <v>9</v>
      </c>
      <c r="Y726">
        <v>8</v>
      </c>
      <c r="Z726" t="s">
        <v>31</v>
      </c>
    </row>
    <row r="727" spans="1:26">
      <c r="A727" t="s">
        <v>784</v>
      </c>
      <c r="B727">
        <v>65</v>
      </c>
      <c r="C727" t="str">
        <f t="shared" si="55"/>
        <v>51-65</v>
      </c>
      <c r="D727" t="s">
        <v>62</v>
      </c>
      <c r="E727" s="2">
        <v>45599</v>
      </c>
      <c r="F727" s="2" t="str">
        <f t="shared" ca="1" si="56"/>
        <v>No</v>
      </c>
      <c r="G727" s="2" t="str">
        <f t="shared" si="57"/>
        <v>Nov-2024</v>
      </c>
      <c r="H727" s="2">
        <v>45367</v>
      </c>
      <c r="I727">
        <v>5</v>
      </c>
      <c r="J727" t="s">
        <v>34</v>
      </c>
      <c r="K727">
        <v>1</v>
      </c>
      <c r="L727" t="s">
        <v>66</v>
      </c>
      <c r="M727" s="9">
        <v>10167</v>
      </c>
      <c r="N727" t="s">
        <v>60</v>
      </c>
      <c r="O727" t="s">
        <v>26</v>
      </c>
      <c r="P727" t="s">
        <v>27</v>
      </c>
      <c r="Q727" s="2">
        <v>45599</v>
      </c>
      <c r="R727" s="13">
        <f t="shared" si="58"/>
        <v>43860.000000003492</v>
      </c>
      <c r="S727" s="13">
        <f t="shared" si="59"/>
        <v>-289.96363636352208</v>
      </c>
      <c r="T727" s="2">
        <v>45629.458333333336</v>
      </c>
      <c r="U727" t="s">
        <v>55</v>
      </c>
      <c r="V727" t="s">
        <v>29</v>
      </c>
      <c r="W727" t="s">
        <v>30</v>
      </c>
      <c r="X727">
        <v>9</v>
      </c>
      <c r="Y727">
        <v>10</v>
      </c>
      <c r="Z727" t="s">
        <v>31</v>
      </c>
    </row>
    <row r="728" spans="1:26">
      <c r="A728" t="s">
        <v>785</v>
      </c>
      <c r="B728">
        <v>32</v>
      </c>
      <c r="C728" t="str">
        <f t="shared" si="55"/>
        <v>18-35</v>
      </c>
      <c r="D728" t="s">
        <v>22</v>
      </c>
      <c r="E728" s="2">
        <v>45044</v>
      </c>
      <c r="F728" s="2" t="str">
        <f t="shared" ca="1" si="56"/>
        <v>No</v>
      </c>
      <c r="G728" s="2" t="str">
        <f t="shared" si="57"/>
        <v>Apr-2023</v>
      </c>
      <c r="H728" s="2">
        <v>45046</v>
      </c>
      <c r="I728">
        <v>2</v>
      </c>
      <c r="J728" t="s">
        <v>63</v>
      </c>
      <c r="K728">
        <v>2</v>
      </c>
      <c r="L728" t="s">
        <v>46</v>
      </c>
      <c r="M728" s="9">
        <v>5432</v>
      </c>
      <c r="N728" t="s">
        <v>60</v>
      </c>
      <c r="O728" t="s">
        <v>26</v>
      </c>
      <c r="P728" t="s">
        <v>41</v>
      </c>
      <c r="Q728" s="2">
        <v>45043</v>
      </c>
      <c r="R728" s="13">
        <f t="shared" si="58"/>
        <v>2100.0000000034925</v>
      </c>
      <c r="S728" s="13">
        <f t="shared" si="59"/>
        <v>-451.09489051084694</v>
      </c>
      <c r="T728" s="2">
        <v>45044.458333333336</v>
      </c>
      <c r="U728" t="s">
        <v>64</v>
      </c>
      <c r="V728" t="s">
        <v>29</v>
      </c>
      <c r="W728" t="s">
        <v>30</v>
      </c>
      <c r="X728">
        <v>6</v>
      </c>
      <c r="Y728">
        <v>8</v>
      </c>
      <c r="Z728" t="s">
        <v>68</v>
      </c>
    </row>
    <row r="729" spans="1:26">
      <c r="A729" t="s">
        <v>786</v>
      </c>
      <c r="B729">
        <v>34</v>
      </c>
      <c r="C729" t="str">
        <f t="shared" si="55"/>
        <v>18-35</v>
      </c>
      <c r="D729" t="s">
        <v>62</v>
      </c>
      <c r="E729" s="2">
        <v>45157</v>
      </c>
      <c r="F729" s="2" t="str">
        <f t="shared" ca="1" si="56"/>
        <v>No</v>
      </c>
      <c r="G729" s="2" t="str">
        <f t="shared" si="57"/>
        <v>Aug-2023</v>
      </c>
      <c r="H729" s="2">
        <v>44935</v>
      </c>
      <c r="I729">
        <v>13</v>
      </c>
      <c r="J729" t="s">
        <v>63</v>
      </c>
      <c r="K729">
        <v>1</v>
      </c>
      <c r="L729" t="s">
        <v>35</v>
      </c>
      <c r="M729" s="9">
        <v>9151</v>
      </c>
      <c r="N729" t="s">
        <v>25</v>
      </c>
      <c r="O729" t="s">
        <v>54</v>
      </c>
      <c r="P729" t="s">
        <v>27</v>
      </c>
      <c r="Q729" s="2">
        <v>45153</v>
      </c>
      <c r="R729" s="13">
        <f t="shared" si="58"/>
        <v>2399.9999999965075</v>
      </c>
      <c r="S729" s="13">
        <f t="shared" si="59"/>
        <v>-460.43956043947088</v>
      </c>
      <c r="T729" s="2">
        <v>45154.666666666664</v>
      </c>
      <c r="U729" t="s">
        <v>64</v>
      </c>
      <c r="V729" t="s">
        <v>29</v>
      </c>
      <c r="W729" t="s">
        <v>30</v>
      </c>
      <c r="X729">
        <v>4</v>
      </c>
      <c r="Y729">
        <v>12</v>
      </c>
      <c r="Z729" t="s">
        <v>48</v>
      </c>
    </row>
    <row r="730" spans="1:26">
      <c r="A730" t="s">
        <v>787</v>
      </c>
      <c r="B730">
        <v>72</v>
      </c>
      <c r="C730" t="str">
        <f t="shared" si="55"/>
        <v>66+</v>
      </c>
      <c r="D730" t="s">
        <v>45</v>
      </c>
      <c r="E730" s="2">
        <v>44963</v>
      </c>
      <c r="F730" s="2" t="str">
        <f t="shared" ca="1" si="56"/>
        <v>No</v>
      </c>
      <c r="G730" s="2" t="str">
        <f t="shared" si="57"/>
        <v>Feb-2023</v>
      </c>
      <c r="H730" s="2">
        <v>45052</v>
      </c>
      <c r="I730">
        <v>3</v>
      </c>
      <c r="J730" t="s">
        <v>34</v>
      </c>
      <c r="K730">
        <v>1</v>
      </c>
      <c r="L730" t="s">
        <v>24</v>
      </c>
      <c r="M730" s="9">
        <v>11411</v>
      </c>
      <c r="N730" t="s">
        <v>67</v>
      </c>
      <c r="O730" t="s">
        <v>54</v>
      </c>
      <c r="P730" t="s">
        <v>41</v>
      </c>
      <c r="Q730" s="2">
        <v>45077</v>
      </c>
      <c r="R730" s="13">
        <f t="shared" si="58"/>
        <v>599.99999999650754</v>
      </c>
      <c r="S730" s="13">
        <f t="shared" si="59"/>
        <v>-470.95588235283844</v>
      </c>
      <c r="T730" s="2">
        <v>45077.416666666664</v>
      </c>
      <c r="U730" t="s">
        <v>37</v>
      </c>
      <c r="V730" t="s">
        <v>29</v>
      </c>
      <c r="W730" t="s">
        <v>30</v>
      </c>
      <c r="X730">
        <v>9</v>
      </c>
      <c r="Y730">
        <v>10</v>
      </c>
      <c r="Z730" t="s">
        <v>68</v>
      </c>
    </row>
    <row r="731" spans="1:26">
      <c r="A731" t="s">
        <v>788</v>
      </c>
      <c r="B731">
        <v>39</v>
      </c>
      <c r="C731" t="str">
        <f t="shared" si="55"/>
        <v>36-50</v>
      </c>
      <c r="D731" t="s">
        <v>33</v>
      </c>
      <c r="E731" s="2">
        <v>45199</v>
      </c>
      <c r="F731" s="2" t="str">
        <f t="shared" ca="1" si="56"/>
        <v>No</v>
      </c>
      <c r="G731" s="2" t="str">
        <f t="shared" si="57"/>
        <v>Sep-2023</v>
      </c>
      <c r="H731" s="2">
        <v>45056</v>
      </c>
      <c r="I731">
        <v>5</v>
      </c>
      <c r="J731" t="s">
        <v>40</v>
      </c>
      <c r="K731">
        <v>2</v>
      </c>
      <c r="L731" t="s">
        <v>24</v>
      </c>
      <c r="M731" s="9">
        <v>35788</v>
      </c>
      <c r="N731" t="s">
        <v>53</v>
      </c>
      <c r="O731" t="s">
        <v>26</v>
      </c>
      <c r="P731" t="s">
        <v>41</v>
      </c>
      <c r="Q731" s="2">
        <v>45198</v>
      </c>
      <c r="R731" s="13">
        <f t="shared" si="58"/>
        <v>1080</v>
      </c>
      <c r="S731" s="13">
        <f t="shared" si="59"/>
        <v>-474.90774907737477</v>
      </c>
      <c r="T731" s="2">
        <v>45198.75</v>
      </c>
      <c r="U731" t="s">
        <v>42</v>
      </c>
      <c r="V731" t="s">
        <v>38</v>
      </c>
      <c r="W731" t="s">
        <v>43</v>
      </c>
      <c r="X731">
        <v>11</v>
      </c>
      <c r="Y731">
        <v>12</v>
      </c>
      <c r="Z731" t="s">
        <v>68</v>
      </c>
    </row>
    <row r="732" spans="1:26">
      <c r="A732" t="s">
        <v>789</v>
      </c>
      <c r="B732">
        <v>26</v>
      </c>
      <c r="C732" t="str">
        <f t="shared" si="55"/>
        <v>18-35</v>
      </c>
      <c r="D732" t="s">
        <v>41</v>
      </c>
      <c r="E732" s="2">
        <v>45072</v>
      </c>
      <c r="F732" s="2" t="str">
        <f t="shared" ca="1" si="56"/>
        <v>No</v>
      </c>
      <c r="G732" s="2" t="str">
        <f t="shared" si="57"/>
        <v>May-2023</v>
      </c>
      <c r="H732" s="2">
        <v>44991</v>
      </c>
      <c r="I732">
        <v>8</v>
      </c>
      <c r="J732" t="s">
        <v>34</v>
      </c>
      <c r="K732">
        <v>1</v>
      </c>
      <c r="L732" t="s">
        <v>46</v>
      </c>
      <c r="M732" s="9">
        <v>31623</v>
      </c>
      <c r="N732" t="s">
        <v>67</v>
      </c>
      <c r="O732" t="s">
        <v>26</v>
      </c>
      <c r="P732" t="s">
        <v>27</v>
      </c>
      <c r="Q732" s="2">
        <v>45067</v>
      </c>
      <c r="R732" s="13">
        <f t="shared" si="58"/>
        <v>360</v>
      </c>
      <c r="S732" s="13">
        <f t="shared" si="59"/>
        <v>-480.66666666655027</v>
      </c>
      <c r="T732" s="2">
        <v>45067.25</v>
      </c>
      <c r="U732" t="s">
        <v>28</v>
      </c>
      <c r="V732" t="s">
        <v>29</v>
      </c>
      <c r="W732" t="s">
        <v>47</v>
      </c>
      <c r="X732">
        <v>8</v>
      </c>
      <c r="Y732">
        <v>8</v>
      </c>
      <c r="Z732" t="s">
        <v>68</v>
      </c>
    </row>
    <row r="733" spans="1:26">
      <c r="A733" t="s">
        <v>790</v>
      </c>
      <c r="B733">
        <v>34</v>
      </c>
      <c r="C733" t="str">
        <f t="shared" si="55"/>
        <v>18-35</v>
      </c>
      <c r="D733" t="s">
        <v>62</v>
      </c>
      <c r="E733" s="2">
        <v>45000</v>
      </c>
      <c r="F733" s="2" t="str">
        <f t="shared" ca="1" si="56"/>
        <v>No</v>
      </c>
      <c r="G733" s="2" t="str">
        <f t="shared" si="57"/>
        <v>Mar-2023</v>
      </c>
      <c r="H733" s="2">
        <v>45015</v>
      </c>
      <c r="I733">
        <v>15</v>
      </c>
      <c r="J733" t="s">
        <v>34</v>
      </c>
      <c r="K733">
        <v>2</v>
      </c>
      <c r="L733" t="s">
        <v>35</v>
      </c>
      <c r="M733" s="9">
        <v>27104</v>
      </c>
      <c r="N733" t="s">
        <v>36</v>
      </c>
      <c r="O733" t="s">
        <v>26</v>
      </c>
      <c r="P733" t="s">
        <v>27</v>
      </c>
      <c r="Q733" s="2">
        <v>45233</v>
      </c>
      <c r="R733" s="13">
        <f t="shared" si="58"/>
        <v>1200.0000000034925</v>
      </c>
      <c r="S733" s="13">
        <f t="shared" si="59"/>
        <v>-483.79182156122147</v>
      </c>
      <c r="T733" s="2">
        <v>45233.833333333336</v>
      </c>
      <c r="U733" t="s">
        <v>28</v>
      </c>
      <c r="V733" t="s">
        <v>29</v>
      </c>
      <c r="W733" t="s">
        <v>43</v>
      </c>
      <c r="X733">
        <v>7</v>
      </c>
      <c r="Y733">
        <v>8</v>
      </c>
      <c r="Z733" t="s">
        <v>31</v>
      </c>
    </row>
    <row r="734" spans="1:26">
      <c r="A734" t="s">
        <v>791</v>
      </c>
      <c r="B734">
        <v>54</v>
      </c>
      <c r="C734" t="str">
        <f t="shared" si="55"/>
        <v>51-65</v>
      </c>
      <c r="D734" t="s">
        <v>33</v>
      </c>
      <c r="E734" s="2">
        <v>44988</v>
      </c>
      <c r="F734" s="2" t="str">
        <f t="shared" ca="1" si="56"/>
        <v>No</v>
      </c>
      <c r="G734" s="2" t="str">
        <f t="shared" si="57"/>
        <v>Mar-2023</v>
      </c>
      <c r="H734" s="2">
        <v>45263</v>
      </c>
      <c r="I734">
        <v>9</v>
      </c>
      <c r="J734" t="s">
        <v>23</v>
      </c>
      <c r="K734">
        <v>2</v>
      </c>
      <c r="L734" t="s">
        <v>71</v>
      </c>
      <c r="M734" s="9">
        <v>5256</v>
      </c>
      <c r="N734" t="s">
        <v>60</v>
      </c>
      <c r="O734" t="s">
        <v>26</v>
      </c>
      <c r="P734" t="s">
        <v>27</v>
      </c>
      <c r="Q734" s="2">
        <v>44929</v>
      </c>
      <c r="R734" s="13">
        <f t="shared" si="58"/>
        <v>360</v>
      </c>
      <c r="S734" s="13">
        <f t="shared" si="59"/>
        <v>-490.07462686556738</v>
      </c>
      <c r="T734" s="2">
        <v>44929.25</v>
      </c>
      <c r="U734" t="s">
        <v>55</v>
      </c>
      <c r="V734" t="s">
        <v>29</v>
      </c>
      <c r="W734" t="s">
        <v>30</v>
      </c>
      <c r="X734">
        <v>8</v>
      </c>
      <c r="Y734">
        <v>12</v>
      </c>
      <c r="Z734" t="s">
        <v>68</v>
      </c>
    </row>
    <row r="735" spans="1:26">
      <c r="A735" t="s">
        <v>792</v>
      </c>
      <c r="B735">
        <v>3</v>
      </c>
      <c r="C735" t="str">
        <f t="shared" si="55"/>
        <v>0-17</v>
      </c>
      <c r="D735" t="s">
        <v>33</v>
      </c>
      <c r="E735" s="2">
        <v>45096</v>
      </c>
      <c r="F735" s="2" t="str">
        <f t="shared" ca="1" si="56"/>
        <v>No</v>
      </c>
      <c r="G735" s="2" t="str">
        <f t="shared" si="57"/>
        <v>Jun-2023</v>
      </c>
      <c r="H735" s="2">
        <v>45099</v>
      </c>
      <c r="I735">
        <v>3</v>
      </c>
      <c r="J735" t="s">
        <v>34</v>
      </c>
      <c r="K735">
        <v>2</v>
      </c>
      <c r="L735" t="s">
        <v>66</v>
      </c>
      <c r="M735" s="9">
        <v>38439</v>
      </c>
      <c r="N735" t="s">
        <v>36</v>
      </c>
      <c r="O735" t="s">
        <v>26</v>
      </c>
      <c r="P735" t="s">
        <v>41</v>
      </c>
      <c r="Q735" s="2">
        <v>45092</v>
      </c>
      <c r="R735" s="13">
        <f t="shared" si="58"/>
        <v>1980</v>
      </c>
      <c r="S735" s="13">
        <f t="shared" si="59"/>
        <v>-493.25842696618747</v>
      </c>
      <c r="T735" s="2">
        <v>45093.375</v>
      </c>
      <c r="U735" t="s">
        <v>55</v>
      </c>
      <c r="V735" t="s">
        <v>38</v>
      </c>
      <c r="W735" t="s">
        <v>30</v>
      </c>
      <c r="X735">
        <v>4</v>
      </c>
      <c r="Y735">
        <v>12</v>
      </c>
      <c r="Z735" t="s">
        <v>48</v>
      </c>
    </row>
    <row r="736" spans="1:26">
      <c r="A736" t="s">
        <v>793</v>
      </c>
      <c r="B736">
        <v>50</v>
      </c>
      <c r="C736" t="str">
        <f t="shared" si="55"/>
        <v>36-50</v>
      </c>
      <c r="D736" t="s">
        <v>52</v>
      </c>
      <c r="E736" s="2">
        <v>45241</v>
      </c>
      <c r="F736" s="2" t="str">
        <f t="shared" ca="1" si="56"/>
        <v>No</v>
      </c>
      <c r="G736" s="2" t="str">
        <f t="shared" si="57"/>
        <v>Nov-2023</v>
      </c>
      <c r="H736" s="2">
        <v>45255</v>
      </c>
      <c r="I736">
        <v>14</v>
      </c>
      <c r="J736" t="s">
        <v>40</v>
      </c>
      <c r="K736">
        <v>3</v>
      </c>
      <c r="L736" t="s">
        <v>35</v>
      </c>
      <c r="M736" s="9">
        <v>38257</v>
      </c>
      <c r="N736" t="s">
        <v>60</v>
      </c>
      <c r="O736" t="s">
        <v>54</v>
      </c>
      <c r="P736" t="s">
        <v>27</v>
      </c>
      <c r="Q736" s="2">
        <v>45118</v>
      </c>
      <c r="R736" s="13">
        <f t="shared" si="58"/>
        <v>840.00000000349246</v>
      </c>
      <c r="S736" s="13">
        <f t="shared" si="59"/>
        <v>-502.55639097733859</v>
      </c>
      <c r="T736" s="2">
        <v>45118.583333333336</v>
      </c>
      <c r="U736" t="s">
        <v>37</v>
      </c>
      <c r="V736" t="s">
        <v>29</v>
      </c>
      <c r="W736" t="s">
        <v>43</v>
      </c>
      <c r="X736">
        <v>4</v>
      </c>
      <c r="Y736">
        <v>8</v>
      </c>
      <c r="Z736" t="s">
        <v>68</v>
      </c>
    </row>
    <row r="737" spans="1:26">
      <c r="A737" t="s">
        <v>794</v>
      </c>
      <c r="B737">
        <v>12</v>
      </c>
      <c r="C737" t="str">
        <f t="shared" si="55"/>
        <v>0-17</v>
      </c>
      <c r="D737" t="s">
        <v>62</v>
      </c>
      <c r="E737" s="2">
        <v>45222</v>
      </c>
      <c r="F737" s="2" t="str">
        <f t="shared" ca="1" si="56"/>
        <v>No</v>
      </c>
      <c r="G737" s="2" t="str">
        <f t="shared" si="57"/>
        <v>Oct-2023</v>
      </c>
      <c r="H737" s="2">
        <v>45229</v>
      </c>
      <c r="I737">
        <v>7</v>
      </c>
      <c r="J737" t="s">
        <v>23</v>
      </c>
      <c r="K737">
        <v>1</v>
      </c>
      <c r="L737" t="s">
        <v>24</v>
      </c>
      <c r="M737" s="9">
        <v>44657</v>
      </c>
      <c r="N737" t="s">
        <v>60</v>
      </c>
      <c r="O737" t="s">
        <v>54</v>
      </c>
      <c r="P737" t="s">
        <v>27</v>
      </c>
      <c r="Q737" s="2">
        <v>45217</v>
      </c>
      <c r="R737" s="13">
        <f t="shared" si="58"/>
        <v>599.99999999650754</v>
      </c>
      <c r="S737" s="13">
        <f t="shared" si="59"/>
        <v>-507.62264150934169</v>
      </c>
      <c r="T737" s="2">
        <v>45217.416666666664</v>
      </c>
      <c r="U737" t="s">
        <v>64</v>
      </c>
      <c r="V737" t="s">
        <v>29</v>
      </c>
      <c r="W737" t="s">
        <v>47</v>
      </c>
      <c r="X737">
        <v>7</v>
      </c>
      <c r="Y737">
        <v>12</v>
      </c>
      <c r="Z737" t="s">
        <v>31</v>
      </c>
    </row>
    <row r="738" spans="1:26">
      <c r="A738" t="s">
        <v>795</v>
      </c>
      <c r="B738">
        <v>65</v>
      </c>
      <c r="C738" t="str">
        <f t="shared" si="55"/>
        <v>51-65</v>
      </c>
      <c r="D738" t="s">
        <v>41</v>
      </c>
      <c r="E738" s="2">
        <v>45376</v>
      </c>
      <c r="F738" s="2" t="str">
        <f t="shared" ca="1" si="56"/>
        <v>No</v>
      </c>
      <c r="G738" s="2" t="str">
        <f t="shared" si="57"/>
        <v>Mar-2024</v>
      </c>
      <c r="H738" s="2">
        <v>45378</v>
      </c>
      <c r="I738">
        <v>2</v>
      </c>
      <c r="J738" t="s">
        <v>50</v>
      </c>
      <c r="K738">
        <v>4</v>
      </c>
      <c r="L738" t="s">
        <v>46</v>
      </c>
      <c r="M738" s="9">
        <v>49674</v>
      </c>
      <c r="N738" t="s">
        <v>36</v>
      </c>
      <c r="O738" t="s">
        <v>54</v>
      </c>
      <c r="P738" t="s">
        <v>27</v>
      </c>
      <c r="Q738" s="2">
        <v>45374</v>
      </c>
      <c r="R738" s="13">
        <f t="shared" si="58"/>
        <v>2100.0000000034925</v>
      </c>
      <c r="S738" s="13">
        <f t="shared" si="59"/>
        <v>-511.81818181807597</v>
      </c>
      <c r="T738" s="2">
        <v>45375.458333333336</v>
      </c>
      <c r="U738" t="s">
        <v>28</v>
      </c>
      <c r="V738" t="s">
        <v>29</v>
      </c>
      <c r="W738" t="s">
        <v>43</v>
      </c>
      <c r="X738">
        <v>5</v>
      </c>
      <c r="Y738">
        <v>8</v>
      </c>
      <c r="Z738" t="s">
        <v>48</v>
      </c>
    </row>
    <row r="739" spans="1:26">
      <c r="A739" t="s">
        <v>796</v>
      </c>
      <c r="B739">
        <v>54</v>
      </c>
      <c r="C739" t="str">
        <f t="shared" si="55"/>
        <v>51-65</v>
      </c>
      <c r="D739" t="s">
        <v>62</v>
      </c>
      <c r="E739" s="2">
        <v>45143</v>
      </c>
      <c r="F739" s="2" t="str">
        <f t="shared" ca="1" si="56"/>
        <v>No</v>
      </c>
      <c r="G739" s="2" t="str">
        <f t="shared" si="57"/>
        <v>Aug-2023</v>
      </c>
      <c r="H739" s="2">
        <v>45069</v>
      </c>
      <c r="I739">
        <v>15</v>
      </c>
      <c r="J739" t="s">
        <v>50</v>
      </c>
      <c r="K739">
        <v>2</v>
      </c>
      <c r="L739" t="s">
        <v>46</v>
      </c>
      <c r="M739" s="9">
        <v>23066</v>
      </c>
      <c r="N739" t="s">
        <v>36</v>
      </c>
      <c r="O739" t="s">
        <v>54</v>
      </c>
      <c r="P739" t="s">
        <v>27</v>
      </c>
      <c r="Q739" s="2">
        <v>45112</v>
      </c>
      <c r="R739" s="13">
        <f t="shared" si="58"/>
        <v>1260</v>
      </c>
      <c r="S739" s="13">
        <f t="shared" si="59"/>
        <v>-521.74904942956482</v>
      </c>
      <c r="T739" s="2">
        <v>45112.875</v>
      </c>
      <c r="U739" t="s">
        <v>37</v>
      </c>
      <c r="V739" t="s">
        <v>29</v>
      </c>
      <c r="W739" t="s">
        <v>43</v>
      </c>
      <c r="X739">
        <v>5</v>
      </c>
      <c r="Y739">
        <v>12</v>
      </c>
      <c r="Z739" t="s">
        <v>48</v>
      </c>
    </row>
    <row r="740" spans="1:26">
      <c r="A740" t="s">
        <v>797</v>
      </c>
      <c r="B740">
        <v>5</v>
      </c>
      <c r="C740" t="str">
        <f t="shared" si="55"/>
        <v>0-17</v>
      </c>
      <c r="D740" t="s">
        <v>33</v>
      </c>
      <c r="E740" s="2">
        <v>45406</v>
      </c>
      <c r="F740" s="2" t="str">
        <f t="shared" ca="1" si="56"/>
        <v>No</v>
      </c>
      <c r="G740" s="2" t="str">
        <f t="shared" si="57"/>
        <v>Apr-2024</v>
      </c>
      <c r="H740" s="2">
        <v>45410</v>
      </c>
      <c r="I740">
        <v>4</v>
      </c>
      <c r="J740" t="s">
        <v>63</v>
      </c>
      <c r="K740">
        <v>1</v>
      </c>
      <c r="L740" t="s">
        <v>66</v>
      </c>
      <c r="M740" s="9">
        <v>37746</v>
      </c>
      <c r="N740" t="s">
        <v>67</v>
      </c>
      <c r="O740" t="s">
        <v>54</v>
      </c>
      <c r="P740" t="s">
        <v>27</v>
      </c>
      <c r="Q740" s="2">
        <v>45404</v>
      </c>
      <c r="R740" s="13">
        <f t="shared" si="58"/>
        <v>1560.0000000034925</v>
      </c>
      <c r="S740" s="13">
        <f t="shared" si="59"/>
        <v>-528.54961832051742</v>
      </c>
      <c r="T740" s="2">
        <v>45405.083333333336</v>
      </c>
      <c r="U740" t="s">
        <v>55</v>
      </c>
      <c r="V740" t="s">
        <v>38</v>
      </c>
      <c r="W740" t="s">
        <v>43</v>
      </c>
      <c r="X740">
        <v>11</v>
      </c>
      <c r="Y740">
        <v>8</v>
      </c>
      <c r="Z740" t="s">
        <v>48</v>
      </c>
    </row>
    <row r="741" spans="1:26">
      <c r="A741" t="s">
        <v>798</v>
      </c>
      <c r="B741">
        <v>57</v>
      </c>
      <c r="C741" t="str">
        <f t="shared" si="55"/>
        <v>51-65</v>
      </c>
      <c r="D741" t="s">
        <v>41</v>
      </c>
      <c r="E741" s="2">
        <v>45149</v>
      </c>
      <c r="F741" s="2" t="str">
        <f t="shared" ca="1" si="56"/>
        <v>No</v>
      </c>
      <c r="G741" s="2" t="str">
        <f t="shared" si="57"/>
        <v>Aug-2023</v>
      </c>
      <c r="H741" s="2">
        <v>45252</v>
      </c>
      <c r="I741">
        <v>14</v>
      </c>
      <c r="J741" t="s">
        <v>63</v>
      </c>
      <c r="K741">
        <v>5</v>
      </c>
      <c r="L741" t="s">
        <v>46</v>
      </c>
      <c r="M741" s="9">
        <v>7460</v>
      </c>
      <c r="N741" t="s">
        <v>36</v>
      </c>
      <c r="O741" t="s">
        <v>26</v>
      </c>
      <c r="P741" t="s">
        <v>27</v>
      </c>
      <c r="Q741" s="2">
        <v>45118</v>
      </c>
      <c r="R741" s="13">
        <f t="shared" si="58"/>
        <v>45480.000000003492</v>
      </c>
      <c r="S741" s="13">
        <f t="shared" si="59"/>
        <v>-536.55172413785078</v>
      </c>
      <c r="T741" s="2">
        <v>45149.583333333336</v>
      </c>
      <c r="U741" t="s">
        <v>55</v>
      </c>
      <c r="V741" t="s">
        <v>29</v>
      </c>
      <c r="W741" t="s">
        <v>47</v>
      </c>
      <c r="X741">
        <v>5</v>
      </c>
      <c r="Y741">
        <v>8</v>
      </c>
      <c r="Z741" t="s">
        <v>48</v>
      </c>
    </row>
    <row r="742" spans="1:26">
      <c r="A742" t="s">
        <v>799</v>
      </c>
      <c r="B742">
        <v>17</v>
      </c>
      <c r="C742" t="str">
        <f t="shared" si="55"/>
        <v>0-17</v>
      </c>
      <c r="D742" t="s">
        <v>45</v>
      </c>
      <c r="E742" s="2">
        <v>45339</v>
      </c>
      <c r="F742" s="2" t="str">
        <f t="shared" ca="1" si="56"/>
        <v>No</v>
      </c>
      <c r="G742" s="2" t="str">
        <f t="shared" si="57"/>
        <v>Feb-2024</v>
      </c>
      <c r="H742" s="2">
        <v>45347</v>
      </c>
      <c r="I742">
        <v>8</v>
      </c>
      <c r="J742" t="s">
        <v>40</v>
      </c>
      <c r="K742">
        <v>2</v>
      </c>
      <c r="L742" t="s">
        <v>46</v>
      </c>
      <c r="M742" s="9">
        <v>42297</v>
      </c>
      <c r="N742" t="s">
        <v>67</v>
      </c>
      <c r="O742" t="s">
        <v>26</v>
      </c>
      <c r="P742" t="s">
        <v>27</v>
      </c>
      <c r="Q742" s="2">
        <v>45628</v>
      </c>
      <c r="R742" s="13">
        <f t="shared" si="58"/>
        <v>-420899.99999999651</v>
      </c>
      <c r="S742" s="13">
        <f t="shared" si="59"/>
        <v>-713.53846153839436</v>
      </c>
      <c r="T742" s="2">
        <v>45335.708333333336</v>
      </c>
      <c r="U742" t="s">
        <v>28</v>
      </c>
      <c r="V742" t="s">
        <v>29</v>
      </c>
      <c r="W742" t="s">
        <v>43</v>
      </c>
      <c r="X742">
        <v>6</v>
      </c>
      <c r="Y742">
        <v>10</v>
      </c>
      <c r="Z742" t="s">
        <v>68</v>
      </c>
    </row>
    <row r="743" spans="1:26">
      <c r="A743" t="s">
        <v>800</v>
      </c>
      <c r="B743">
        <v>47</v>
      </c>
      <c r="C743" t="str">
        <f t="shared" si="55"/>
        <v>36-50</v>
      </c>
      <c r="D743" t="s">
        <v>52</v>
      </c>
      <c r="E743" s="2">
        <v>45087</v>
      </c>
      <c r="F743" s="2" t="str">
        <f t="shared" ca="1" si="56"/>
        <v>No</v>
      </c>
      <c r="G743" s="2" t="str">
        <f t="shared" si="57"/>
        <v>Jun-2023</v>
      </c>
      <c r="H743" s="2">
        <v>45220</v>
      </c>
      <c r="I743">
        <v>15</v>
      </c>
      <c r="J743" t="s">
        <v>57</v>
      </c>
      <c r="K743">
        <v>2</v>
      </c>
      <c r="L743" t="s">
        <v>35</v>
      </c>
      <c r="M743" s="9">
        <v>39743</v>
      </c>
      <c r="N743" t="s">
        <v>67</v>
      </c>
      <c r="O743" t="s">
        <v>54</v>
      </c>
      <c r="P743" t="s">
        <v>41</v>
      </c>
      <c r="Q743" s="2">
        <v>44967</v>
      </c>
      <c r="R743" s="13">
        <f t="shared" si="58"/>
        <v>41400</v>
      </c>
      <c r="S743" s="13">
        <f t="shared" si="59"/>
        <v>908.80308880314271</v>
      </c>
      <c r="T743" s="2">
        <v>44995.75</v>
      </c>
      <c r="U743" t="s">
        <v>55</v>
      </c>
      <c r="V743" t="s">
        <v>29</v>
      </c>
      <c r="W743" t="s">
        <v>43</v>
      </c>
      <c r="X743">
        <v>5</v>
      </c>
      <c r="Y743">
        <v>8</v>
      </c>
      <c r="Z743" t="s">
        <v>31</v>
      </c>
    </row>
    <row r="744" spans="1:26">
      <c r="A744" t="s">
        <v>801</v>
      </c>
      <c r="B744">
        <v>23</v>
      </c>
      <c r="C744" t="str">
        <f t="shared" si="55"/>
        <v>18-35</v>
      </c>
      <c r="D744" t="s">
        <v>33</v>
      </c>
      <c r="E744" s="2">
        <v>45439</v>
      </c>
      <c r="F744" s="2" t="str">
        <f t="shared" ca="1" si="56"/>
        <v>No</v>
      </c>
      <c r="G744" s="2" t="str">
        <f t="shared" si="57"/>
        <v>May-2024</v>
      </c>
      <c r="H744" s="2">
        <v>45328</v>
      </c>
      <c r="I744">
        <v>6</v>
      </c>
      <c r="J744" t="s">
        <v>50</v>
      </c>
      <c r="K744">
        <v>4</v>
      </c>
      <c r="L744" t="s">
        <v>71</v>
      </c>
      <c r="M744" s="9">
        <v>8216</v>
      </c>
      <c r="N744" t="s">
        <v>67</v>
      </c>
      <c r="O744" t="s">
        <v>54</v>
      </c>
      <c r="P744" t="s">
        <v>27</v>
      </c>
      <c r="Q744" s="2">
        <v>45438</v>
      </c>
      <c r="R744" s="13">
        <f t="shared" si="58"/>
        <v>2640.0000000034925</v>
      </c>
      <c r="S744" s="13">
        <f t="shared" si="59"/>
        <v>751.86046511633322</v>
      </c>
      <c r="T744" s="2">
        <v>45439.833333333336</v>
      </c>
      <c r="U744" t="s">
        <v>55</v>
      </c>
      <c r="V744" t="s">
        <v>29</v>
      </c>
      <c r="W744" t="s">
        <v>30</v>
      </c>
      <c r="X744">
        <v>10</v>
      </c>
      <c r="Y744">
        <v>8</v>
      </c>
      <c r="Z744" t="s">
        <v>48</v>
      </c>
    </row>
    <row r="745" spans="1:26">
      <c r="A745" t="s">
        <v>802</v>
      </c>
      <c r="B745">
        <v>79</v>
      </c>
      <c r="C745" t="str">
        <f t="shared" si="55"/>
        <v>66+</v>
      </c>
      <c r="D745" t="s">
        <v>22</v>
      </c>
      <c r="E745" s="2">
        <v>45432</v>
      </c>
      <c r="F745" s="2" t="str">
        <f t="shared" ca="1" si="56"/>
        <v>No</v>
      </c>
      <c r="G745" s="2" t="str">
        <f t="shared" si="57"/>
        <v>May-2024</v>
      </c>
      <c r="H745" s="2">
        <v>45388</v>
      </c>
      <c r="I745">
        <v>15</v>
      </c>
      <c r="J745" t="s">
        <v>63</v>
      </c>
      <c r="K745">
        <v>3</v>
      </c>
      <c r="L745" t="s">
        <v>66</v>
      </c>
      <c r="M745" s="9">
        <v>19267</v>
      </c>
      <c r="N745" t="s">
        <v>60</v>
      </c>
      <c r="O745" t="s">
        <v>54</v>
      </c>
      <c r="P745" t="s">
        <v>27</v>
      </c>
      <c r="Q745" s="2">
        <v>45429</v>
      </c>
      <c r="R745" s="13">
        <f t="shared" si="58"/>
        <v>2520</v>
      </c>
      <c r="S745" s="13">
        <f t="shared" si="59"/>
        <v>744.51361867708351</v>
      </c>
      <c r="T745" s="2">
        <v>45430.75</v>
      </c>
      <c r="U745" t="s">
        <v>42</v>
      </c>
      <c r="V745" t="s">
        <v>29</v>
      </c>
      <c r="W745" t="s">
        <v>43</v>
      </c>
      <c r="X745">
        <v>6</v>
      </c>
      <c r="Y745">
        <v>10</v>
      </c>
      <c r="Z745" t="s">
        <v>48</v>
      </c>
    </row>
    <row r="746" spans="1:26">
      <c r="A746" t="s">
        <v>803</v>
      </c>
      <c r="B746">
        <v>85</v>
      </c>
      <c r="C746" t="str">
        <f t="shared" si="55"/>
        <v>66+</v>
      </c>
      <c r="D746" t="s">
        <v>22</v>
      </c>
      <c r="E746" s="2">
        <v>45375</v>
      </c>
      <c r="F746" s="2" t="str">
        <f t="shared" ca="1" si="56"/>
        <v>No</v>
      </c>
      <c r="G746" s="2" t="str">
        <f t="shared" si="57"/>
        <v>Mar-2024</v>
      </c>
      <c r="H746" s="2">
        <v>45376</v>
      </c>
      <c r="I746">
        <v>1</v>
      </c>
      <c r="J746" t="s">
        <v>50</v>
      </c>
      <c r="K746">
        <v>3</v>
      </c>
      <c r="L746" t="s">
        <v>35</v>
      </c>
      <c r="M746" s="9">
        <v>14581</v>
      </c>
      <c r="N746" t="s">
        <v>60</v>
      </c>
      <c r="O746" t="s">
        <v>54</v>
      </c>
      <c r="P746" t="s">
        <v>27</v>
      </c>
      <c r="Q746" s="2">
        <v>45373</v>
      </c>
      <c r="R746" s="13">
        <f t="shared" si="58"/>
        <v>300.00000000349246</v>
      </c>
      <c r="S746" s="13">
        <f t="shared" si="59"/>
        <v>737.57812500004093</v>
      </c>
      <c r="T746" s="2">
        <v>45373.208333333336</v>
      </c>
      <c r="U746" t="s">
        <v>64</v>
      </c>
      <c r="V746" t="s">
        <v>29</v>
      </c>
      <c r="W746" t="s">
        <v>30</v>
      </c>
      <c r="X746">
        <v>6</v>
      </c>
      <c r="Y746">
        <v>10</v>
      </c>
      <c r="Z746" t="s">
        <v>31</v>
      </c>
    </row>
    <row r="747" spans="1:26">
      <c r="A747" t="s">
        <v>804</v>
      </c>
      <c r="B747">
        <v>14</v>
      </c>
      <c r="C747" t="str">
        <f t="shared" si="55"/>
        <v>0-17</v>
      </c>
      <c r="D747" t="s">
        <v>52</v>
      </c>
      <c r="E747" s="2">
        <v>45009</v>
      </c>
      <c r="F747" s="2" t="str">
        <f t="shared" ca="1" si="56"/>
        <v>No</v>
      </c>
      <c r="G747" s="2" t="str">
        <f t="shared" si="57"/>
        <v>Mar-2023</v>
      </c>
      <c r="H747" s="2">
        <v>45016</v>
      </c>
      <c r="I747">
        <v>7</v>
      </c>
      <c r="J747" t="s">
        <v>40</v>
      </c>
      <c r="K747">
        <v>2</v>
      </c>
      <c r="L747" t="s">
        <v>71</v>
      </c>
      <c r="M747" s="9">
        <v>9515</v>
      </c>
      <c r="N747" t="s">
        <v>36</v>
      </c>
      <c r="O747" t="s">
        <v>54</v>
      </c>
      <c r="P747" t="s">
        <v>41</v>
      </c>
      <c r="Q747" s="2">
        <v>45007</v>
      </c>
      <c r="R747" s="13">
        <f t="shared" si="58"/>
        <v>1200.0000000034925</v>
      </c>
      <c r="S747" s="13">
        <f t="shared" si="59"/>
        <v>739.29411764708618</v>
      </c>
      <c r="T747" s="2">
        <v>45007.833333333336</v>
      </c>
      <c r="U747" t="s">
        <v>55</v>
      </c>
      <c r="V747" t="s">
        <v>29</v>
      </c>
      <c r="W747" t="s">
        <v>30</v>
      </c>
      <c r="X747">
        <v>11</v>
      </c>
      <c r="Y747">
        <v>12</v>
      </c>
      <c r="Z747" t="s">
        <v>68</v>
      </c>
    </row>
    <row r="748" spans="1:26">
      <c r="A748" t="s">
        <v>805</v>
      </c>
      <c r="B748">
        <v>66</v>
      </c>
      <c r="C748" t="str">
        <f t="shared" si="55"/>
        <v>66+</v>
      </c>
      <c r="D748" t="s">
        <v>45</v>
      </c>
      <c r="E748" s="2">
        <v>45201</v>
      </c>
      <c r="F748" s="2" t="str">
        <f t="shared" ca="1" si="56"/>
        <v>No</v>
      </c>
      <c r="G748" s="2" t="str">
        <f t="shared" si="57"/>
        <v>Oct-2023</v>
      </c>
      <c r="H748" s="2">
        <v>45232</v>
      </c>
      <c r="I748">
        <v>1</v>
      </c>
      <c r="J748" t="s">
        <v>40</v>
      </c>
      <c r="K748">
        <v>1</v>
      </c>
      <c r="L748" t="s">
        <v>35</v>
      </c>
      <c r="M748" s="9">
        <v>27076</v>
      </c>
      <c r="N748" t="s">
        <v>60</v>
      </c>
      <c r="O748" t="s">
        <v>54</v>
      </c>
      <c r="P748" t="s">
        <v>27</v>
      </c>
      <c r="Q748" s="2">
        <v>45201</v>
      </c>
      <c r="R748" s="13">
        <f t="shared" si="58"/>
        <v>45900</v>
      </c>
      <c r="S748" s="13">
        <f t="shared" si="59"/>
        <v>737.48031496064368</v>
      </c>
      <c r="T748" s="2">
        <v>45232.875</v>
      </c>
      <c r="U748" t="s">
        <v>42</v>
      </c>
      <c r="V748" t="s">
        <v>29</v>
      </c>
      <c r="W748" t="s">
        <v>30</v>
      </c>
      <c r="X748">
        <v>5</v>
      </c>
      <c r="Y748">
        <v>12</v>
      </c>
      <c r="Z748" t="s">
        <v>48</v>
      </c>
    </row>
    <row r="749" spans="1:26">
      <c r="A749" t="s">
        <v>806</v>
      </c>
      <c r="B749">
        <v>75</v>
      </c>
      <c r="C749" t="str">
        <f t="shared" si="55"/>
        <v>66+</v>
      </c>
      <c r="D749" t="s">
        <v>33</v>
      </c>
      <c r="E749" s="2">
        <v>45369</v>
      </c>
      <c r="F749" s="2" t="str">
        <f t="shared" ca="1" si="56"/>
        <v>No</v>
      </c>
      <c r="G749" s="2" t="str">
        <f t="shared" si="57"/>
        <v>Mar-2024</v>
      </c>
      <c r="H749" s="2">
        <v>45376</v>
      </c>
      <c r="I749">
        <v>7</v>
      </c>
      <c r="J749" t="s">
        <v>57</v>
      </c>
      <c r="K749">
        <v>5</v>
      </c>
      <c r="L749" t="s">
        <v>35</v>
      </c>
      <c r="M749" s="9">
        <v>49816</v>
      </c>
      <c r="N749" t="s">
        <v>36</v>
      </c>
      <c r="O749" t="s">
        <v>54</v>
      </c>
      <c r="P749" t="s">
        <v>27</v>
      </c>
      <c r="Q749" s="2">
        <v>45365</v>
      </c>
      <c r="R749" s="13">
        <f t="shared" si="58"/>
        <v>1679.9999999965075</v>
      </c>
      <c r="S749" s="13">
        <f t="shared" si="59"/>
        <v>558.97233201582412</v>
      </c>
      <c r="T749" s="2">
        <v>45366.166666666664</v>
      </c>
      <c r="U749" t="s">
        <v>37</v>
      </c>
      <c r="V749" t="s">
        <v>38</v>
      </c>
      <c r="W749" t="s">
        <v>47</v>
      </c>
      <c r="X749">
        <v>5</v>
      </c>
      <c r="Y749">
        <v>8</v>
      </c>
      <c r="Z749" t="s">
        <v>68</v>
      </c>
    </row>
    <row r="750" spans="1:26">
      <c r="A750" t="s">
        <v>807</v>
      </c>
      <c r="B750">
        <v>51</v>
      </c>
      <c r="C750" t="str">
        <f t="shared" si="55"/>
        <v>51-65</v>
      </c>
      <c r="D750" t="s">
        <v>62</v>
      </c>
      <c r="E750" s="2">
        <v>45257</v>
      </c>
      <c r="F750" s="2" t="str">
        <f t="shared" ca="1" si="56"/>
        <v>No</v>
      </c>
      <c r="G750" s="2" t="str">
        <f t="shared" si="57"/>
        <v>Nov-2023</v>
      </c>
      <c r="H750" s="2">
        <v>45089</v>
      </c>
      <c r="I750">
        <v>9</v>
      </c>
      <c r="J750" t="s">
        <v>57</v>
      </c>
      <c r="K750">
        <v>5</v>
      </c>
      <c r="L750" t="s">
        <v>46</v>
      </c>
      <c r="M750" s="9">
        <v>14776</v>
      </c>
      <c r="N750" t="s">
        <v>60</v>
      </c>
      <c r="O750" t="s">
        <v>54</v>
      </c>
      <c r="P750" t="s">
        <v>27</v>
      </c>
      <c r="Q750" s="2">
        <v>45253</v>
      </c>
      <c r="R750" s="13">
        <f t="shared" si="58"/>
        <v>2820.0000000034925</v>
      </c>
      <c r="S750" s="13">
        <f t="shared" si="59"/>
        <v>554.52380952383726</v>
      </c>
      <c r="T750" s="2">
        <v>45254.958333333336</v>
      </c>
      <c r="U750" t="s">
        <v>55</v>
      </c>
      <c r="V750" t="s">
        <v>29</v>
      </c>
      <c r="W750" t="s">
        <v>30</v>
      </c>
      <c r="X750">
        <v>11</v>
      </c>
      <c r="Y750">
        <v>12</v>
      </c>
      <c r="Z750" t="s">
        <v>68</v>
      </c>
    </row>
    <row r="751" spans="1:26">
      <c r="A751" t="s">
        <v>808</v>
      </c>
      <c r="B751">
        <v>38</v>
      </c>
      <c r="C751" t="str">
        <f t="shared" si="55"/>
        <v>36-50</v>
      </c>
      <c r="D751" t="s">
        <v>52</v>
      </c>
      <c r="E751" s="2">
        <v>45183</v>
      </c>
      <c r="F751" s="2" t="str">
        <f t="shared" ca="1" si="56"/>
        <v>No</v>
      </c>
      <c r="G751" s="2" t="str">
        <f t="shared" si="57"/>
        <v>Sep-2023</v>
      </c>
      <c r="H751" s="2">
        <v>45189</v>
      </c>
      <c r="I751">
        <v>6</v>
      </c>
      <c r="J751" t="s">
        <v>23</v>
      </c>
      <c r="K751">
        <v>1</v>
      </c>
      <c r="L751" t="s">
        <v>71</v>
      </c>
      <c r="M751" s="9">
        <v>26947</v>
      </c>
      <c r="N751" t="s">
        <v>53</v>
      </c>
      <c r="O751" t="s">
        <v>26</v>
      </c>
      <c r="P751" t="s">
        <v>41</v>
      </c>
      <c r="Q751" s="2">
        <v>45178</v>
      </c>
      <c r="R751" s="13">
        <f t="shared" si="58"/>
        <v>959.99999999650754</v>
      </c>
      <c r="S751" s="13">
        <f t="shared" si="59"/>
        <v>545.49800796814145</v>
      </c>
      <c r="T751" s="2">
        <v>45178.666666666664</v>
      </c>
      <c r="U751" t="s">
        <v>37</v>
      </c>
      <c r="V751" t="s">
        <v>29</v>
      </c>
      <c r="W751" t="s">
        <v>43</v>
      </c>
      <c r="X751">
        <v>7</v>
      </c>
      <c r="Y751">
        <v>12</v>
      </c>
      <c r="Z751" t="s">
        <v>68</v>
      </c>
    </row>
    <row r="752" spans="1:26">
      <c r="A752" t="s">
        <v>809</v>
      </c>
      <c r="B752">
        <v>64</v>
      </c>
      <c r="C752" t="str">
        <f t="shared" si="55"/>
        <v>51-65</v>
      </c>
      <c r="D752" t="s">
        <v>45</v>
      </c>
      <c r="E752" s="2">
        <v>44953</v>
      </c>
      <c r="F752" s="2" t="str">
        <f t="shared" ca="1" si="56"/>
        <v>No</v>
      </c>
      <c r="G752" s="2" t="str">
        <f t="shared" si="57"/>
        <v>Jan-2023</v>
      </c>
      <c r="H752" s="2">
        <v>44957</v>
      </c>
      <c r="I752">
        <v>4</v>
      </c>
      <c r="J752" t="s">
        <v>40</v>
      </c>
      <c r="K752">
        <v>2</v>
      </c>
      <c r="L752" t="s">
        <v>66</v>
      </c>
      <c r="M752" s="9">
        <v>7963</v>
      </c>
      <c r="N752" t="s">
        <v>53</v>
      </c>
      <c r="O752" t="s">
        <v>54</v>
      </c>
      <c r="P752" t="s">
        <v>27</v>
      </c>
      <c r="Q752" s="2">
        <v>44952</v>
      </c>
      <c r="R752" s="13">
        <f t="shared" si="58"/>
        <v>239.99999999650754</v>
      </c>
      <c r="S752" s="13">
        <f t="shared" si="59"/>
        <v>543.84000000002789</v>
      </c>
      <c r="T752" s="2">
        <v>44952.166666666664</v>
      </c>
      <c r="U752" t="s">
        <v>55</v>
      </c>
      <c r="V752" t="s">
        <v>29</v>
      </c>
      <c r="W752" t="s">
        <v>43</v>
      </c>
      <c r="X752">
        <v>9</v>
      </c>
      <c r="Y752">
        <v>8</v>
      </c>
      <c r="Z752" t="s">
        <v>68</v>
      </c>
    </row>
    <row r="753" spans="1:26">
      <c r="A753" t="s">
        <v>810</v>
      </c>
      <c r="B753">
        <v>38</v>
      </c>
      <c r="C753" t="str">
        <f t="shared" si="55"/>
        <v>36-50</v>
      </c>
      <c r="D753" t="s">
        <v>62</v>
      </c>
      <c r="E753" s="2">
        <v>45020</v>
      </c>
      <c r="F753" s="2" t="str">
        <f t="shared" ca="1" si="56"/>
        <v>No</v>
      </c>
      <c r="G753" s="2" t="str">
        <f t="shared" si="57"/>
        <v>Apr-2023</v>
      </c>
      <c r="H753" s="2">
        <v>45234</v>
      </c>
      <c r="I753">
        <v>7</v>
      </c>
      <c r="J753" t="s">
        <v>63</v>
      </c>
      <c r="K753">
        <v>5</v>
      </c>
      <c r="L753" t="s">
        <v>66</v>
      </c>
      <c r="M753" s="9">
        <v>11786</v>
      </c>
      <c r="N753" t="s">
        <v>36</v>
      </c>
      <c r="O753" t="s">
        <v>54</v>
      </c>
      <c r="P753" t="s">
        <v>27</v>
      </c>
      <c r="Q753" s="2">
        <v>45015</v>
      </c>
      <c r="R753" s="13">
        <f t="shared" si="58"/>
        <v>959.99999999650754</v>
      </c>
      <c r="S753" s="13">
        <f t="shared" si="59"/>
        <v>545.06024096389751</v>
      </c>
      <c r="T753" s="2">
        <v>45015.666666666664</v>
      </c>
      <c r="U753" t="s">
        <v>28</v>
      </c>
      <c r="V753" t="s">
        <v>29</v>
      </c>
      <c r="W753" t="s">
        <v>30</v>
      </c>
      <c r="X753">
        <v>11</v>
      </c>
      <c r="Y753">
        <v>10</v>
      </c>
      <c r="Z753" t="s">
        <v>48</v>
      </c>
    </row>
    <row r="754" spans="1:26">
      <c r="A754" t="s">
        <v>811</v>
      </c>
      <c r="B754">
        <v>50</v>
      </c>
      <c r="C754" t="str">
        <f t="shared" si="55"/>
        <v>36-50</v>
      </c>
      <c r="D754" t="s">
        <v>22</v>
      </c>
      <c r="E754" s="2">
        <v>45161</v>
      </c>
      <c r="F754" s="2" t="str">
        <f t="shared" ca="1" si="56"/>
        <v>No</v>
      </c>
      <c r="G754" s="2" t="str">
        <f t="shared" si="57"/>
        <v>Aug-2023</v>
      </c>
      <c r="H754" s="2">
        <v>45163</v>
      </c>
      <c r="I754">
        <v>2</v>
      </c>
      <c r="J754" t="s">
        <v>50</v>
      </c>
      <c r="K754">
        <v>3</v>
      </c>
      <c r="L754" t="s">
        <v>71</v>
      </c>
      <c r="M754" s="9">
        <v>18866</v>
      </c>
      <c r="N754" t="s">
        <v>60</v>
      </c>
      <c r="O754" t="s">
        <v>54</v>
      </c>
      <c r="P754" t="s">
        <v>27</v>
      </c>
      <c r="Q754" s="2">
        <v>45156</v>
      </c>
      <c r="R754" s="13">
        <f t="shared" si="58"/>
        <v>360</v>
      </c>
      <c r="S754" s="13">
        <f t="shared" si="59"/>
        <v>543.38709677424993</v>
      </c>
      <c r="T754" s="2">
        <v>45156.25</v>
      </c>
      <c r="U754" t="s">
        <v>42</v>
      </c>
      <c r="V754" t="s">
        <v>29</v>
      </c>
      <c r="W754" t="s">
        <v>30</v>
      </c>
      <c r="X754">
        <v>7</v>
      </c>
      <c r="Y754">
        <v>10</v>
      </c>
      <c r="Z754" t="s">
        <v>48</v>
      </c>
    </row>
    <row r="755" spans="1:26">
      <c r="A755" t="s">
        <v>812</v>
      </c>
      <c r="B755">
        <v>82</v>
      </c>
      <c r="C755" t="str">
        <f t="shared" si="55"/>
        <v>66+</v>
      </c>
      <c r="D755" t="s">
        <v>22</v>
      </c>
      <c r="E755" s="2">
        <v>44948</v>
      </c>
      <c r="F755" s="2" t="str">
        <f t="shared" ca="1" si="56"/>
        <v>No</v>
      </c>
      <c r="G755" s="2" t="str">
        <f t="shared" si="57"/>
        <v>Jan-2023</v>
      </c>
      <c r="H755" s="2">
        <v>44954</v>
      </c>
      <c r="I755">
        <v>6</v>
      </c>
      <c r="J755" t="s">
        <v>34</v>
      </c>
      <c r="K755">
        <v>1</v>
      </c>
      <c r="L755" t="s">
        <v>46</v>
      </c>
      <c r="M755" s="9">
        <v>43968</v>
      </c>
      <c r="N755" t="s">
        <v>60</v>
      </c>
      <c r="O755" t="s">
        <v>54</v>
      </c>
      <c r="P755" t="s">
        <v>41</v>
      </c>
      <c r="Q755" s="2">
        <v>44945</v>
      </c>
      <c r="R755" s="13">
        <f t="shared" si="58"/>
        <v>1679.9999999965075</v>
      </c>
      <c r="S755" s="13">
        <f t="shared" si="59"/>
        <v>544.129554655927</v>
      </c>
      <c r="T755" s="2">
        <v>44946.166666666664</v>
      </c>
      <c r="U755" t="s">
        <v>42</v>
      </c>
      <c r="V755" t="s">
        <v>29</v>
      </c>
      <c r="W755" t="s">
        <v>43</v>
      </c>
      <c r="X755">
        <v>6</v>
      </c>
      <c r="Y755">
        <v>8</v>
      </c>
      <c r="Z755" t="s">
        <v>68</v>
      </c>
    </row>
    <row r="756" spans="1:26">
      <c r="A756" t="s">
        <v>813</v>
      </c>
      <c r="B756">
        <v>30</v>
      </c>
      <c r="C756" t="str">
        <f t="shared" si="55"/>
        <v>18-35</v>
      </c>
      <c r="D756" t="s">
        <v>62</v>
      </c>
      <c r="E756" s="2">
        <v>44995</v>
      </c>
      <c r="F756" s="2" t="str">
        <f t="shared" ca="1" si="56"/>
        <v>No</v>
      </c>
      <c r="G756" s="2" t="str">
        <f t="shared" si="57"/>
        <v>Mar-2023</v>
      </c>
      <c r="H756" s="2">
        <v>45117</v>
      </c>
      <c r="I756">
        <v>4</v>
      </c>
      <c r="J756" t="s">
        <v>57</v>
      </c>
      <c r="K756">
        <v>4</v>
      </c>
      <c r="L756" t="s">
        <v>24</v>
      </c>
      <c r="M756" s="9">
        <v>37305</v>
      </c>
      <c r="N756" t="s">
        <v>67</v>
      </c>
      <c r="O756" t="s">
        <v>26</v>
      </c>
      <c r="P756" t="s">
        <v>27</v>
      </c>
      <c r="Q756" s="2">
        <v>45198</v>
      </c>
      <c r="R756" s="13">
        <f t="shared" si="58"/>
        <v>480.00000000349246</v>
      </c>
      <c r="S756" s="13">
        <f t="shared" si="59"/>
        <v>539.51219512202215</v>
      </c>
      <c r="T756" s="2">
        <v>45198.333333333336</v>
      </c>
      <c r="U756" t="s">
        <v>28</v>
      </c>
      <c r="V756" t="s">
        <v>29</v>
      </c>
      <c r="W756" t="s">
        <v>30</v>
      </c>
      <c r="X756">
        <v>7</v>
      </c>
      <c r="Y756">
        <v>8</v>
      </c>
      <c r="Z756" t="s">
        <v>68</v>
      </c>
    </row>
    <row r="757" spans="1:26">
      <c r="A757" t="s">
        <v>814</v>
      </c>
      <c r="B757">
        <v>79</v>
      </c>
      <c r="C757" t="str">
        <f t="shared" si="55"/>
        <v>66+</v>
      </c>
      <c r="D757" t="s">
        <v>52</v>
      </c>
      <c r="E757" s="2">
        <v>45232</v>
      </c>
      <c r="F757" s="2" t="str">
        <f t="shared" ca="1" si="56"/>
        <v>No</v>
      </c>
      <c r="G757" s="2" t="str">
        <f t="shared" si="57"/>
        <v>Nov-2023</v>
      </c>
      <c r="H757" s="2">
        <v>45262</v>
      </c>
      <c r="I757">
        <v>1</v>
      </c>
      <c r="J757" t="s">
        <v>34</v>
      </c>
      <c r="K757">
        <v>2</v>
      </c>
      <c r="L757" t="s">
        <v>35</v>
      </c>
      <c r="M757" s="9">
        <v>22360</v>
      </c>
      <c r="N757" t="s">
        <v>25</v>
      </c>
      <c r="O757" t="s">
        <v>26</v>
      </c>
      <c r="P757" t="s">
        <v>27</v>
      </c>
      <c r="Q757" s="2">
        <v>45140</v>
      </c>
      <c r="R757" s="13">
        <f t="shared" si="58"/>
        <v>45000</v>
      </c>
      <c r="S757" s="13">
        <f t="shared" si="59"/>
        <v>539.75510204087334</v>
      </c>
      <c r="T757" s="2">
        <v>45171.25</v>
      </c>
      <c r="U757" t="s">
        <v>64</v>
      </c>
      <c r="V757" t="s">
        <v>29</v>
      </c>
      <c r="W757" t="s">
        <v>47</v>
      </c>
      <c r="X757">
        <v>6</v>
      </c>
      <c r="Y757">
        <v>8</v>
      </c>
      <c r="Z757" t="s">
        <v>31</v>
      </c>
    </row>
    <row r="758" spans="1:26">
      <c r="A758" t="s">
        <v>815</v>
      </c>
      <c r="B758">
        <v>51</v>
      </c>
      <c r="C758" t="str">
        <f t="shared" si="55"/>
        <v>51-65</v>
      </c>
      <c r="D758" t="s">
        <v>22</v>
      </c>
      <c r="E758" s="2">
        <v>45106</v>
      </c>
      <c r="F758" s="2" t="str">
        <f t="shared" ca="1" si="56"/>
        <v>No</v>
      </c>
      <c r="G758" s="2" t="str">
        <f t="shared" si="57"/>
        <v>Jun-2023</v>
      </c>
      <c r="H758" s="2">
        <v>45053</v>
      </c>
      <c r="I758">
        <v>6</v>
      </c>
      <c r="J758" t="s">
        <v>63</v>
      </c>
      <c r="K758">
        <v>1</v>
      </c>
      <c r="L758" t="s">
        <v>46</v>
      </c>
      <c r="M758" s="9">
        <v>45113</v>
      </c>
      <c r="N758" t="s">
        <v>36</v>
      </c>
      <c r="O758" t="s">
        <v>54</v>
      </c>
      <c r="P758" t="s">
        <v>41</v>
      </c>
      <c r="Q758" s="2">
        <v>45106</v>
      </c>
      <c r="R758" s="13">
        <f t="shared" si="58"/>
        <v>2399.9999999965075</v>
      </c>
      <c r="S758" s="13">
        <f t="shared" si="59"/>
        <v>357.54098360661465</v>
      </c>
      <c r="T758" s="2">
        <v>45107.666666666664</v>
      </c>
      <c r="U758" t="s">
        <v>42</v>
      </c>
      <c r="V758" t="s">
        <v>38</v>
      </c>
      <c r="W758" t="s">
        <v>30</v>
      </c>
      <c r="X758">
        <v>4</v>
      </c>
      <c r="Y758">
        <v>8</v>
      </c>
      <c r="Z758" t="s">
        <v>31</v>
      </c>
    </row>
    <row r="759" spans="1:26">
      <c r="A759" t="s">
        <v>816</v>
      </c>
      <c r="B759">
        <v>63</v>
      </c>
      <c r="C759" t="str">
        <f t="shared" si="55"/>
        <v>51-65</v>
      </c>
      <c r="D759" t="s">
        <v>33</v>
      </c>
      <c r="E759" s="2">
        <v>45408</v>
      </c>
      <c r="F759" s="2" t="str">
        <f t="shared" ca="1" si="56"/>
        <v>No</v>
      </c>
      <c r="G759" s="2" t="str">
        <f t="shared" si="57"/>
        <v>Apr-2024</v>
      </c>
      <c r="H759" s="2">
        <v>45601</v>
      </c>
      <c r="I759">
        <v>15</v>
      </c>
      <c r="J759" t="s">
        <v>57</v>
      </c>
      <c r="K759">
        <v>5</v>
      </c>
      <c r="L759" t="s">
        <v>71</v>
      </c>
      <c r="M759" s="9">
        <v>37813</v>
      </c>
      <c r="N759" t="s">
        <v>25</v>
      </c>
      <c r="O759" t="s">
        <v>26</v>
      </c>
      <c r="P759" t="s">
        <v>41</v>
      </c>
      <c r="Q759" s="2">
        <v>45406</v>
      </c>
      <c r="R759" s="13">
        <f t="shared" si="58"/>
        <v>2340</v>
      </c>
      <c r="S759" s="13">
        <f t="shared" si="59"/>
        <v>349.13580246920765</v>
      </c>
      <c r="T759" s="2">
        <v>45407.625</v>
      </c>
      <c r="U759" t="s">
        <v>37</v>
      </c>
      <c r="V759" t="s">
        <v>29</v>
      </c>
      <c r="W759" t="s">
        <v>47</v>
      </c>
      <c r="X759">
        <v>6</v>
      </c>
      <c r="Y759">
        <v>8</v>
      </c>
      <c r="Z759" t="s">
        <v>31</v>
      </c>
    </row>
    <row r="760" spans="1:26">
      <c r="A760" t="s">
        <v>817</v>
      </c>
      <c r="B760">
        <v>52</v>
      </c>
      <c r="C760" t="str">
        <f t="shared" si="55"/>
        <v>51-65</v>
      </c>
      <c r="D760" t="s">
        <v>41</v>
      </c>
      <c r="E760" s="2">
        <v>45458</v>
      </c>
      <c r="F760" s="2" t="str">
        <f t="shared" ca="1" si="56"/>
        <v>No</v>
      </c>
      <c r="G760" s="2" t="str">
        <f t="shared" si="57"/>
        <v>Jun-2024</v>
      </c>
      <c r="H760" s="2">
        <v>45460</v>
      </c>
      <c r="I760">
        <v>2</v>
      </c>
      <c r="J760" t="s">
        <v>34</v>
      </c>
      <c r="K760">
        <v>2</v>
      </c>
      <c r="L760" t="s">
        <v>35</v>
      </c>
      <c r="M760" s="9">
        <v>6193</v>
      </c>
      <c r="N760" t="s">
        <v>25</v>
      </c>
      <c r="O760" t="s">
        <v>54</v>
      </c>
      <c r="P760" t="s">
        <v>27</v>
      </c>
      <c r="Q760" s="2">
        <v>45571</v>
      </c>
      <c r="R760" s="13">
        <f t="shared" si="58"/>
        <v>239.99999999650754</v>
      </c>
      <c r="S760" s="13">
        <f t="shared" si="59"/>
        <v>340.90909090916307</v>
      </c>
      <c r="T760" s="2">
        <v>45571.166666666664</v>
      </c>
      <c r="U760" t="s">
        <v>42</v>
      </c>
      <c r="V760" t="s">
        <v>29</v>
      </c>
      <c r="W760" t="s">
        <v>47</v>
      </c>
      <c r="X760">
        <v>6</v>
      </c>
      <c r="Y760">
        <v>8</v>
      </c>
      <c r="Z760" t="s">
        <v>48</v>
      </c>
    </row>
    <row r="761" spans="1:26">
      <c r="A761" t="s">
        <v>818</v>
      </c>
      <c r="B761">
        <v>38</v>
      </c>
      <c r="C761" t="str">
        <f t="shared" si="55"/>
        <v>36-50</v>
      </c>
      <c r="D761" t="s">
        <v>62</v>
      </c>
      <c r="E761" s="2">
        <v>45379</v>
      </c>
      <c r="F761" s="2" t="str">
        <f t="shared" ca="1" si="56"/>
        <v>No</v>
      </c>
      <c r="G761" s="2" t="str">
        <f t="shared" si="57"/>
        <v>Mar-2024</v>
      </c>
      <c r="H761" s="2">
        <v>45600</v>
      </c>
      <c r="I761">
        <v>14</v>
      </c>
      <c r="J761" t="s">
        <v>63</v>
      </c>
      <c r="K761">
        <v>3</v>
      </c>
      <c r="L761" t="s">
        <v>66</v>
      </c>
      <c r="M761" s="9">
        <v>9512</v>
      </c>
      <c r="N761" t="s">
        <v>36</v>
      </c>
      <c r="O761" t="s">
        <v>26</v>
      </c>
      <c r="P761" t="s">
        <v>41</v>
      </c>
      <c r="Q761" s="2">
        <v>45374</v>
      </c>
      <c r="R761" s="13">
        <f t="shared" si="58"/>
        <v>1200.0000000034925</v>
      </c>
      <c r="S761" s="13">
        <f t="shared" si="59"/>
        <v>341.32780082996248</v>
      </c>
      <c r="T761" s="2">
        <v>45374.833333333336</v>
      </c>
      <c r="U761" t="s">
        <v>64</v>
      </c>
      <c r="V761" t="s">
        <v>38</v>
      </c>
      <c r="W761" t="s">
        <v>47</v>
      </c>
      <c r="X761">
        <v>7</v>
      </c>
      <c r="Y761">
        <v>12</v>
      </c>
      <c r="Z761" t="s">
        <v>31</v>
      </c>
    </row>
    <row r="762" spans="1:26">
      <c r="A762" t="s">
        <v>819</v>
      </c>
      <c r="B762">
        <v>88</v>
      </c>
      <c r="C762" t="str">
        <f t="shared" si="55"/>
        <v>66+</v>
      </c>
      <c r="D762" t="s">
        <v>62</v>
      </c>
      <c r="E762" s="2">
        <v>45270</v>
      </c>
      <c r="F762" s="2" t="str">
        <f t="shared" ca="1" si="56"/>
        <v>No</v>
      </c>
      <c r="G762" s="2" t="str">
        <f t="shared" si="57"/>
        <v>Dec-2023</v>
      </c>
      <c r="H762" s="2">
        <v>45223</v>
      </c>
      <c r="I762">
        <v>12</v>
      </c>
      <c r="J762" t="s">
        <v>50</v>
      </c>
      <c r="K762">
        <v>2</v>
      </c>
      <c r="L762" t="s">
        <v>24</v>
      </c>
      <c r="M762" s="9">
        <v>27666</v>
      </c>
      <c r="N762" t="s">
        <v>60</v>
      </c>
      <c r="O762" t="s">
        <v>54</v>
      </c>
      <c r="P762" t="s">
        <v>41</v>
      </c>
      <c r="Q762" s="2">
        <v>45179</v>
      </c>
      <c r="R762" s="13">
        <f t="shared" si="58"/>
        <v>44339.999999996508</v>
      </c>
      <c r="S762" s="13">
        <f t="shared" si="59"/>
        <v>337.75000000007276</v>
      </c>
      <c r="T762" s="2">
        <v>45209.791666666664</v>
      </c>
      <c r="U762" t="s">
        <v>37</v>
      </c>
      <c r="V762" t="s">
        <v>29</v>
      </c>
      <c r="W762" t="s">
        <v>30</v>
      </c>
      <c r="X762">
        <v>9</v>
      </c>
      <c r="Y762">
        <v>12</v>
      </c>
      <c r="Z762" t="s">
        <v>48</v>
      </c>
    </row>
    <row r="763" spans="1:26">
      <c r="A763" t="s">
        <v>820</v>
      </c>
      <c r="B763">
        <v>79</v>
      </c>
      <c r="C763" t="str">
        <f t="shared" si="55"/>
        <v>66+</v>
      </c>
      <c r="D763" t="s">
        <v>22</v>
      </c>
      <c r="E763" s="2">
        <v>45053</v>
      </c>
      <c r="F763" s="2" t="str">
        <f t="shared" ca="1" si="56"/>
        <v>No</v>
      </c>
      <c r="G763" s="2" t="str">
        <f t="shared" si="57"/>
        <v>May-2023</v>
      </c>
      <c r="H763" s="2">
        <v>45123</v>
      </c>
      <c r="I763">
        <v>11</v>
      </c>
      <c r="J763" t="s">
        <v>63</v>
      </c>
      <c r="K763">
        <v>2</v>
      </c>
      <c r="L763" t="s">
        <v>66</v>
      </c>
      <c r="M763" s="9">
        <v>21630</v>
      </c>
      <c r="N763" t="s">
        <v>36</v>
      </c>
      <c r="O763" t="s">
        <v>54</v>
      </c>
      <c r="P763" t="s">
        <v>27</v>
      </c>
      <c r="Q763" s="2">
        <v>44933</v>
      </c>
      <c r="R763" s="13">
        <f t="shared" si="58"/>
        <v>84960</v>
      </c>
      <c r="S763" s="13">
        <f t="shared" si="59"/>
        <v>153.6401673641044</v>
      </c>
      <c r="T763" s="2">
        <v>44992</v>
      </c>
      <c r="U763" t="s">
        <v>37</v>
      </c>
      <c r="V763" t="s">
        <v>29</v>
      </c>
      <c r="W763" t="s">
        <v>47</v>
      </c>
      <c r="X763">
        <v>4</v>
      </c>
      <c r="Y763">
        <v>12</v>
      </c>
      <c r="Z763" t="s">
        <v>48</v>
      </c>
    </row>
    <row r="764" spans="1:26">
      <c r="A764" t="s">
        <v>821</v>
      </c>
      <c r="B764">
        <v>30</v>
      </c>
      <c r="C764" t="str">
        <f t="shared" si="55"/>
        <v>18-35</v>
      </c>
      <c r="D764" t="s">
        <v>52</v>
      </c>
      <c r="E764" s="2">
        <v>45373</v>
      </c>
      <c r="F764" s="2" t="str">
        <f t="shared" ca="1" si="56"/>
        <v>No</v>
      </c>
      <c r="G764" s="2" t="str">
        <f t="shared" si="57"/>
        <v>Mar-2024</v>
      </c>
      <c r="H764" s="2">
        <v>45379</v>
      </c>
      <c r="I764">
        <v>6</v>
      </c>
      <c r="J764" t="s">
        <v>23</v>
      </c>
      <c r="K764">
        <v>3</v>
      </c>
      <c r="L764" t="s">
        <v>71</v>
      </c>
      <c r="M764" s="9">
        <v>13983</v>
      </c>
      <c r="N764" t="s">
        <v>25</v>
      </c>
      <c r="O764" t="s">
        <v>26</v>
      </c>
      <c r="P764" t="s">
        <v>27</v>
      </c>
      <c r="Q764" s="2">
        <v>45371</v>
      </c>
      <c r="R764" s="13">
        <f t="shared" si="58"/>
        <v>2579.9999999965075</v>
      </c>
      <c r="S764" s="13">
        <f t="shared" si="59"/>
        <v>-202.68907563016407</v>
      </c>
      <c r="T764" s="2">
        <v>45372.791666666664</v>
      </c>
      <c r="U764" t="s">
        <v>28</v>
      </c>
      <c r="V764" t="s">
        <v>29</v>
      </c>
      <c r="W764" t="s">
        <v>47</v>
      </c>
      <c r="X764">
        <v>8</v>
      </c>
      <c r="Y764">
        <v>10</v>
      </c>
      <c r="Z764" t="s">
        <v>48</v>
      </c>
    </row>
    <row r="765" spans="1:26">
      <c r="A765" t="s">
        <v>822</v>
      </c>
      <c r="B765">
        <v>51</v>
      </c>
      <c r="C765" t="str">
        <f t="shared" si="55"/>
        <v>51-65</v>
      </c>
      <c r="D765" t="s">
        <v>33</v>
      </c>
      <c r="E765" s="2">
        <v>45430</v>
      </c>
      <c r="F765" s="2" t="str">
        <f t="shared" ca="1" si="56"/>
        <v>No</v>
      </c>
      <c r="G765" s="2" t="str">
        <f t="shared" si="57"/>
        <v>May-2024</v>
      </c>
      <c r="H765" s="2">
        <v>45443</v>
      </c>
      <c r="I765">
        <v>13</v>
      </c>
      <c r="J765" t="s">
        <v>57</v>
      </c>
      <c r="K765">
        <v>3</v>
      </c>
      <c r="L765" t="s">
        <v>35</v>
      </c>
      <c r="M765" s="9">
        <v>5636</v>
      </c>
      <c r="N765" t="s">
        <v>60</v>
      </c>
      <c r="O765" t="s">
        <v>26</v>
      </c>
      <c r="P765" t="s">
        <v>41</v>
      </c>
      <c r="Q765" s="2">
        <v>45425</v>
      </c>
      <c r="R765" s="13">
        <f t="shared" si="58"/>
        <v>2880</v>
      </c>
      <c r="S765" s="13">
        <f t="shared" si="59"/>
        <v>-214.43037974673229</v>
      </c>
      <c r="T765" s="2">
        <v>45427</v>
      </c>
      <c r="U765" t="s">
        <v>55</v>
      </c>
      <c r="V765" t="s">
        <v>29</v>
      </c>
      <c r="W765" t="s">
        <v>30</v>
      </c>
      <c r="X765">
        <v>8</v>
      </c>
      <c r="Y765">
        <v>8</v>
      </c>
      <c r="Z765" t="s">
        <v>48</v>
      </c>
    </row>
    <row r="766" spans="1:26">
      <c r="A766" t="s">
        <v>823</v>
      </c>
      <c r="B766">
        <v>81</v>
      </c>
      <c r="C766" t="str">
        <f t="shared" si="55"/>
        <v>66+</v>
      </c>
      <c r="D766" t="s">
        <v>52</v>
      </c>
      <c r="E766" s="2">
        <v>45020</v>
      </c>
      <c r="F766" s="2" t="str">
        <f t="shared" ca="1" si="56"/>
        <v>No</v>
      </c>
      <c r="G766" s="2" t="str">
        <f t="shared" si="57"/>
        <v>Apr-2023</v>
      </c>
      <c r="H766" s="2">
        <v>45111</v>
      </c>
      <c r="I766">
        <v>3</v>
      </c>
      <c r="J766" t="s">
        <v>40</v>
      </c>
      <c r="K766">
        <v>2</v>
      </c>
      <c r="L766" t="s">
        <v>71</v>
      </c>
      <c r="M766" s="9">
        <v>8775</v>
      </c>
      <c r="N766" t="s">
        <v>53</v>
      </c>
      <c r="O766" t="s">
        <v>26</v>
      </c>
      <c r="P766" t="s">
        <v>27</v>
      </c>
      <c r="Q766" s="2">
        <v>44930</v>
      </c>
      <c r="R766" s="13">
        <f t="shared" si="58"/>
        <v>720</v>
      </c>
      <c r="S766" s="13">
        <f t="shared" si="59"/>
        <v>-227.54237288125233</v>
      </c>
      <c r="T766" s="2">
        <v>44930.5</v>
      </c>
      <c r="U766" t="s">
        <v>28</v>
      </c>
      <c r="V766" t="s">
        <v>29</v>
      </c>
      <c r="W766" t="s">
        <v>47</v>
      </c>
      <c r="X766">
        <v>9</v>
      </c>
      <c r="Y766">
        <v>8</v>
      </c>
      <c r="Z766" t="s">
        <v>31</v>
      </c>
    </row>
    <row r="767" spans="1:26">
      <c r="A767" t="s">
        <v>824</v>
      </c>
      <c r="B767">
        <v>5</v>
      </c>
      <c r="C767" t="str">
        <f t="shared" si="55"/>
        <v>0-17</v>
      </c>
      <c r="D767" t="s">
        <v>45</v>
      </c>
      <c r="E767" s="2">
        <v>45408</v>
      </c>
      <c r="F767" s="2" t="str">
        <f t="shared" ca="1" si="56"/>
        <v>No</v>
      </c>
      <c r="G767" s="2" t="str">
        <f t="shared" si="57"/>
        <v>Apr-2024</v>
      </c>
      <c r="H767" s="2">
        <v>45411</v>
      </c>
      <c r="I767">
        <v>3</v>
      </c>
      <c r="J767" t="s">
        <v>50</v>
      </c>
      <c r="K767">
        <v>3</v>
      </c>
      <c r="L767" t="s">
        <v>35</v>
      </c>
      <c r="M767" s="9">
        <v>7421</v>
      </c>
      <c r="N767" t="s">
        <v>36</v>
      </c>
      <c r="O767" t="s">
        <v>54</v>
      </c>
      <c r="P767" t="s">
        <v>41</v>
      </c>
      <c r="Q767" s="2">
        <v>45405</v>
      </c>
      <c r="R767" s="13">
        <f t="shared" si="58"/>
        <v>480.00000000349246</v>
      </c>
      <c r="S767" s="13">
        <f t="shared" si="59"/>
        <v>-231.57446808500237</v>
      </c>
      <c r="T767" s="2">
        <v>45405.333333333336</v>
      </c>
      <c r="U767" t="s">
        <v>55</v>
      </c>
      <c r="V767" t="s">
        <v>29</v>
      </c>
      <c r="W767" t="s">
        <v>30</v>
      </c>
      <c r="X767">
        <v>8</v>
      </c>
      <c r="Y767">
        <v>12</v>
      </c>
      <c r="Z767" t="s">
        <v>68</v>
      </c>
    </row>
    <row r="768" spans="1:26">
      <c r="A768" t="s">
        <v>825</v>
      </c>
      <c r="B768">
        <v>29</v>
      </c>
      <c r="C768" t="str">
        <f t="shared" si="55"/>
        <v>18-35</v>
      </c>
      <c r="D768" t="s">
        <v>45</v>
      </c>
      <c r="E768" s="2">
        <v>45283</v>
      </c>
      <c r="F768" s="2" t="str">
        <f t="shared" ca="1" si="56"/>
        <v>No</v>
      </c>
      <c r="G768" s="2" t="str">
        <f t="shared" si="57"/>
        <v>Dec-2023</v>
      </c>
      <c r="H768" s="2">
        <v>45284</v>
      </c>
      <c r="I768">
        <v>1</v>
      </c>
      <c r="J768" t="s">
        <v>34</v>
      </c>
      <c r="K768">
        <v>1</v>
      </c>
      <c r="L768" t="s">
        <v>46</v>
      </c>
      <c r="M768" s="9">
        <v>18025</v>
      </c>
      <c r="N768" t="s">
        <v>36</v>
      </c>
      <c r="O768" t="s">
        <v>54</v>
      </c>
      <c r="P768" t="s">
        <v>41</v>
      </c>
      <c r="Q768" s="2">
        <v>45282</v>
      </c>
      <c r="R768" s="13">
        <f t="shared" si="58"/>
        <v>59.99999999650754</v>
      </c>
      <c r="S768" s="13">
        <f t="shared" si="59"/>
        <v>-234.61538461529506</v>
      </c>
      <c r="T768" s="2">
        <v>45282.041666666664</v>
      </c>
      <c r="U768" t="s">
        <v>28</v>
      </c>
      <c r="V768" t="s">
        <v>29</v>
      </c>
      <c r="W768" t="s">
        <v>43</v>
      </c>
      <c r="X768">
        <v>4</v>
      </c>
      <c r="Y768">
        <v>10</v>
      </c>
      <c r="Z768" t="s">
        <v>68</v>
      </c>
    </row>
    <row r="769" spans="1:26">
      <c r="A769" t="s">
        <v>826</v>
      </c>
      <c r="B769">
        <v>4</v>
      </c>
      <c r="C769" t="str">
        <f t="shared" si="55"/>
        <v>0-17</v>
      </c>
      <c r="D769" t="s">
        <v>41</v>
      </c>
      <c r="E769" s="2">
        <v>45345</v>
      </c>
      <c r="F769" s="2" t="str">
        <f t="shared" ca="1" si="56"/>
        <v>No</v>
      </c>
      <c r="G769" s="2" t="str">
        <f t="shared" si="57"/>
        <v>Feb-2024</v>
      </c>
      <c r="H769" s="2">
        <v>45350</v>
      </c>
      <c r="I769">
        <v>5</v>
      </c>
      <c r="J769" t="s">
        <v>57</v>
      </c>
      <c r="K769">
        <v>3</v>
      </c>
      <c r="L769" t="s">
        <v>24</v>
      </c>
      <c r="M769" s="9">
        <v>14280</v>
      </c>
      <c r="N769" t="s">
        <v>60</v>
      </c>
      <c r="O769" t="s">
        <v>26</v>
      </c>
      <c r="P769" t="s">
        <v>41</v>
      </c>
      <c r="Q769" s="2">
        <v>45343</v>
      </c>
      <c r="R769" s="13">
        <f t="shared" si="58"/>
        <v>2759.9999999965075</v>
      </c>
      <c r="S769" s="13">
        <f t="shared" si="59"/>
        <v>-235.87982832607534</v>
      </c>
      <c r="T769" s="2">
        <v>45344.916666666664</v>
      </c>
      <c r="U769" t="s">
        <v>55</v>
      </c>
      <c r="V769" t="s">
        <v>29</v>
      </c>
      <c r="W769" t="s">
        <v>47</v>
      </c>
      <c r="X769">
        <v>5</v>
      </c>
      <c r="Y769">
        <v>12</v>
      </c>
      <c r="Z769" t="s">
        <v>68</v>
      </c>
    </row>
    <row r="770" spans="1:26">
      <c r="A770" t="s">
        <v>827</v>
      </c>
      <c r="B770">
        <v>10</v>
      </c>
      <c r="C770" t="str">
        <f t="shared" si="55"/>
        <v>0-17</v>
      </c>
      <c r="D770" t="s">
        <v>22</v>
      </c>
      <c r="E770" s="2">
        <v>45150</v>
      </c>
      <c r="F770" s="2" t="str">
        <f t="shared" ca="1" si="56"/>
        <v>No</v>
      </c>
      <c r="G770" s="2" t="str">
        <f t="shared" si="57"/>
        <v>Aug-2023</v>
      </c>
      <c r="H770" s="2">
        <v>45283</v>
      </c>
      <c r="I770">
        <v>15</v>
      </c>
      <c r="J770" t="s">
        <v>40</v>
      </c>
      <c r="K770">
        <v>3</v>
      </c>
      <c r="L770" t="s">
        <v>46</v>
      </c>
      <c r="M770" s="9">
        <v>41951</v>
      </c>
      <c r="N770" t="s">
        <v>53</v>
      </c>
      <c r="O770" t="s">
        <v>54</v>
      </c>
      <c r="P770" t="s">
        <v>27</v>
      </c>
      <c r="Q770" s="2">
        <v>45058</v>
      </c>
      <c r="R770" s="13">
        <f t="shared" si="58"/>
        <v>540</v>
      </c>
      <c r="S770" s="13">
        <f t="shared" si="59"/>
        <v>-248.79310344815542</v>
      </c>
      <c r="T770" s="2">
        <v>45058.375</v>
      </c>
      <c r="U770" t="s">
        <v>42</v>
      </c>
      <c r="V770" t="s">
        <v>29</v>
      </c>
      <c r="W770" t="s">
        <v>30</v>
      </c>
      <c r="X770">
        <v>4</v>
      </c>
      <c r="Y770">
        <v>8</v>
      </c>
      <c r="Z770" t="s">
        <v>31</v>
      </c>
    </row>
    <row r="771" spans="1:26">
      <c r="A771" t="s">
        <v>828</v>
      </c>
      <c r="B771">
        <v>56</v>
      </c>
      <c r="C771" t="str">
        <f t="shared" ref="C771:C834" si="60">IF(B771&lt;18,"0-17",IF(B771&lt;=35,"18-35",IF(B771&lt;=50,"36-50",IF(B771&lt;=65,"51-65","66+"))))</f>
        <v>51-65</v>
      </c>
      <c r="D771" t="s">
        <v>22</v>
      </c>
      <c r="E771" s="2">
        <v>45255</v>
      </c>
      <c r="F771" s="2" t="str">
        <f t="shared" ref="F771:F834" ca="1" si="61">IF(E771&gt;=EDATE(TODAY(),-12),"Yes","No")</f>
        <v>No</v>
      </c>
      <c r="G771" s="2" t="str">
        <f t="shared" ref="G771:G834" si="62">TEXT(E771,"mmm-yyyy")</f>
        <v>Nov-2023</v>
      </c>
      <c r="H771" s="2">
        <v>45181</v>
      </c>
      <c r="I771">
        <v>14</v>
      </c>
      <c r="J771" t="s">
        <v>63</v>
      </c>
      <c r="K771">
        <v>2</v>
      </c>
      <c r="L771" t="s">
        <v>46</v>
      </c>
      <c r="M771" s="9">
        <v>16351</v>
      </c>
      <c r="N771" t="s">
        <v>53</v>
      </c>
      <c r="O771" t="s">
        <v>54</v>
      </c>
      <c r="P771" t="s">
        <v>41</v>
      </c>
      <c r="Q771" s="2">
        <v>45254</v>
      </c>
      <c r="R771" s="13">
        <f t="shared" ref="R771:R834" si="63">(T771-Q771)*1440</f>
        <v>2700</v>
      </c>
      <c r="S771" s="13">
        <f t="shared" ref="S771:S834" si="64">AVERAGE(R771:R1269)</f>
        <v>-252.20779220767125</v>
      </c>
      <c r="T771" s="2">
        <v>45255.875</v>
      </c>
      <c r="U771" t="s">
        <v>37</v>
      </c>
      <c r="V771" t="s">
        <v>29</v>
      </c>
      <c r="W771" t="s">
        <v>43</v>
      </c>
      <c r="X771">
        <v>7</v>
      </c>
      <c r="Y771">
        <v>8</v>
      </c>
      <c r="Z771" t="s">
        <v>68</v>
      </c>
    </row>
    <row r="772" spans="1:26">
      <c r="A772" t="s">
        <v>829</v>
      </c>
      <c r="B772">
        <v>17</v>
      </c>
      <c r="C772" t="str">
        <f t="shared" si="60"/>
        <v>0-17</v>
      </c>
      <c r="D772" t="s">
        <v>22</v>
      </c>
      <c r="E772" s="2">
        <v>45034</v>
      </c>
      <c r="F772" s="2" t="str">
        <f t="shared" ca="1" si="61"/>
        <v>No</v>
      </c>
      <c r="G772" s="2" t="str">
        <f t="shared" si="62"/>
        <v>Apr-2023</v>
      </c>
      <c r="H772" s="2">
        <v>45042</v>
      </c>
      <c r="I772">
        <v>8</v>
      </c>
      <c r="J772" t="s">
        <v>40</v>
      </c>
      <c r="K772">
        <v>1</v>
      </c>
      <c r="L772" t="s">
        <v>71</v>
      </c>
      <c r="M772" s="9">
        <v>43091</v>
      </c>
      <c r="N772" t="s">
        <v>60</v>
      </c>
      <c r="O772" t="s">
        <v>54</v>
      </c>
      <c r="P772" t="s">
        <v>41</v>
      </c>
      <c r="Q772" s="2">
        <v>45030</v>
      </c>
      <c r="R772" s="13">
        <f t="shared" si="63"/>
        <v>59.99999999650754</v>
      </c>
      <c r="S772" s="13">
        <f t="shared" si="64"/>
        <v>-265.04347826074809</v>
      </c>
      <c r="T772" s="2">
        <v>45030.041666666664</v>
      </c>
      <c r="U772" t="s">
        <v>55</v>
      </c>
      <c r="V772" t="s">
        <v>29</v>
      </c>
      <c r="W772" t="s">
        <v>47</v>
      </c>
      <c r="X772">
        <v>11</v>
      </c>
      <c r="Y772">
        <v>12</v>
      </c>
      <c r="Z772" t="s">
        <v>31</v>
      </c>
    </row>
    <row r="773" spans="1:26">
      <c r="A773" t="s">
        <v>830</v>
      </c>
      <c r="B773">
        <v>74</v>
      </c>
      <c r="C773" t="str">
        <f t="shared" si="60"/>
        <v>66+</v>
      </c>
      <c r="D773" t="s">
        <v>41</v>
      </c>
      <c r="E773" s="2">
        <v>45091</v>
      </c>
      <c r="F773" s="2" t="str">
        <f t="shared" ca="1" si="61"/>
        <v>No</v>
      </c>
      <c r="G773" s="2" t="str">
        <f t="shared" si="62"/>
        <v>Jun-2023</v>
      </c>
      <c r="H773" s="2">
        <v>45103</v>
      </c>
      <c r="I773">
        <v>12</v>
      </c>
      <c r="J773" t="s">
        <v>57</v>
      </c>
      <c r="K773">
        <v>4</v>
      </c>
      <c r="L773" t="s">
        <v>24</v>
      </c>
      <c r="M773" s="9">
        <v>35171</v>
      </c>
      <c r="N773" t="s">
        <v>67</v>
      </c>
      <c r="O773" t="s">
        <v>54</v>
      </c>
      <c r="P773" t="s">
        <v>27</v>
      </c>
      <c r="Q773" s="2">
        <v>45236</v>
      </c>
      <c r="R773" s="13">
        <f t="shared" si="63"/>
        <v>660.00000000349246</v>
      </c>
      <c r="S773" s="13">
        <f t="shared" si="64"/>
        <v>-266.46288209593263</v>
      </c>
      <c r="T773" s="2">
        <v>45236.458333333336</v>
      </c>
      <c r="U773" t="s">
        <v>42</v>
      </c>
      <c r="V773" t="s">
        <v>29</v>
      </c>
      <c r="W773" t="s">
        <v>47</v>
      </c>
      <c r="X773">
        <v>10</v>
      </c>
      <c r="Y773">
        <v>12</v>
      </c>
      <c r="Z773" t="s">
        <v>31</v>
      </c>
    </row>
    <row r="774" spans="1:26">
      <c r="A774" t="s">
        <v>831</v>
      </c>
      <c r="B774">
        <v>17</v>
      </c>
      <c r="C774" t="str">
        <f t="shared" si="60"/>
        <v>0-17</v>
      </c>
      <c r="D774" t="s">
        <v>45</v>
      </c>
      <c r="E774" s="2">
        <v>45028</v>
      </c>
      <c r="F774" s="2" t="str">
        <f t="shared" ca="1" si="61"/>
        <v>No</v>
      </c>
      <c r="G774" s="2" t="str">
        <f t="shared" si="62"/>
        <v>Apr-2023</v>
      </c>
      <c r="H774" s="2">
        <v>45278</v>
      </c>
      <c r="I774">
        <v>14</v>
      </c>
      <c r="J774" t="s">
        <v>57</v>
      </c>
      <c r="K774">
        <v>4</v>
      </c>
      <c r="L774" t="s">
        <v>35</v>
      </c>
      <c r="M774" s="9">
        <v>8644</v>
      </c>
      <c r="N774" t="s">
        <v>36</v>
      </c>
      <c r="O774" t="s">
        <v>54</v>
      </c>
      <c r="P774" t="s">
        <v>27</v>
      </c>
      <c r="Q774" s="2">
        <v>44997</v>
      </c>
      <c r="R774" s="13">
        <f t="shared" si="63"/>
        <v>45120.000000003492</v>
      </c>
      <c r="S774" s="13">
        <f t="shared" si="64"/>
        <v>-270.52631578935114</v>
      </c>
      <c r="T774" s="2">
        <v>45028.333333333336</v>
      </c>
      <c r="U774" t="s">
        <v>64</v>
      </c>
      <c r="V774" t="s">
        <v>29</v>
      </c>
      <c r="W774" t="s">
        <v>30</v>
      </c>
      <c r="X774">
        <v>6</v>
      </c>
      <c r="Y774">
        <v>8</v>
      </c>
      <c r="Z774" t="s">
        <v>31</v>
      </c>
    </row>
    <row r="775" spans="1:26">
      <c r="A775" t="s">
        <v>832</v>
      </c>
      <c r="B775">
        <v>84</v>
      </c>
      <c r="C775" t="str">
        <f t="shared" si="60"/>
        <v>66+</v>
      </c>
      <c r="D775" t="s">
        <v>52</v>
      </c>
      <c r="E775" s="2">
        <v>45348</v>
      </c>
      <c r="F775" s="2" t="str">
        <f t="shared" ca="1" si="61"/>
        <v>No</v>
      </c>
      <c r="G775" s="2" t="str">
        <f t="shared" si="62"/>
        <v>Feb-2024</v>
      </c>
      <c r="H775" s="2">
        <v>45351</v>
      </c>
      <c r="I775">
        <v>3</v>
      </c>
      <c r="J775" t="s">
        <v>23</v>
      </c>
      <c r="K775">
        <v>5</v>
      </c>
      <c r="L775" t="s">
        <v>35</v>
      </c>
      <c r="M775" s="9">
        <v>21142</v>
      </c>
      <c r="N775" t="s">
        <v>36</v>
      </c>
      <c r="O775" t="s">
        <v>54</v>
      </c>
      <c r="P775" t="s">
        <v>41</v>
      </c>
      <c r="Q775" s="2">
        <v>45347</v>
      </c>
      <c r="R775" s="13">
        <f t="shared" si="63"/>
        <v>1380.0000000034925</v>
      </c>
      <c r="S775" s="13">
        <f t="shared" si="64"/>
        <v>-470.48458149768965</v>
      </c>
      <c r="T775" s="2">
        <v>45347.958333333336</v>
      </c>
      <c r="U775" t="s">
        <v>28</v>
      </c>
      <c r="V775" t="s">
        <v>29</v>
      </c>
      <c r="W775" t="s">
        <v>43</v>
      </c>
      <c r="X775">
        <v>6</v>
      </c>
      <c r="Y775">
        <v>12</v>
      </c>
      <c r="Z775" t="s">
        <v>68</v>
      </c>
    </row>
    <row r="776" spans="1:26">
      <c r="A776" t="s">
        <v>833</v>
      </c>
      <c r="B776">
        <v>88</v>
      </c>
      <c r="C776" t="str">
        <f t="shared" si="60"/>
        <v>66+</v>
      </c>
      <c r="D776" t="s">
        <v>41</v>
      </c>
      <c r="E776" s="2">
        <v>45434</v>
      </c>
      <c r="F776" s="2" t="str">
        <f t="shared" ca="1" si="61"/>
        <v>No</v>
      </c>
      <c r="G776" s="2" t="str">
        <f t="shared" si="62"/>
        <v>May-2024</v>
      </c>
      <c r="H776" s="2">
        <v>45388</v>
      </c>
      <c r="I776">
        <v>13</v>
      </c>
      <c r="J776" t="s">
        <v>23</v>
      </c>
      <c r="K776">
        <v>3</v>
      </c>
      <c r="L776" t="s">
        <v>66</v>
      </c>
      <c r="M776" s="9">
        <v>12773</v>
      </c>
      <c r="N776" t="s">
        <v>25</v>
      </c>
      <c r="O776" t="s">
        <v>54</v>
      </c>
      <c r="P776" t="s">
        <v>27</v>
      </c>
      <c r="Q776" s="2">
        <v>45432</v>
      </c>
      <c r="R776" s="13">
        <f t="shared" si="63"/>
        <v>2039.9999999965075</v>
      </c>
      <c r="S776" s="13">
        <f t="shared" si="64"/>
        <v>-478.67256637158869</v>
      </c>
      <c r="T776" s="2">
        <v>45433.416666666664</v>
      </c>
      <c r="U776" t="s">
        <v>64</v>
      </c>
      <c r="V776" t="s">
        <v>29</v>
      </c>
      <c r="W776" t="s">
        <v>30</v>
      </c>
      <c r="X776">
        <v>11</v>
      </c>
      <c r="Y776">
        <v>8</v>
      </c>
      <c r="Z776" t="s">
        <v>68</v>
      </c>
    </row>
    <row r="777" spans="1:26">
      <c r="A777" t="s">
        <v>834</v>
      </c>
      <c r="B777">
        <v>69</v>
      </c>
      <c r="C777" t="str">
        <f t="shared" si="60"/>
        <v>66+</v>
      </c>
      <c r="D777" t="s">
        <v>41</v>
      </c>
      <c r="E777" s="2">
        <v>45222</v>
      </c>
      <c r="F777" s="2" t="str">
        <f t="shared" ca="1" si="61"/>
        <v>No</v>
      </c>
      <c r="G777" s="2" t="str">
        <f t="shared" si="62"/>
        <v>Oct-2023</v>
      </c>
      <c r="H777" s="2">
        <v>45027</v>
      </c>
      <c r="I777">
        <v>12</v>
      </c>
      <c r="J777" t="s">
        <v>40</v>
      </c>
      <c r="K777">
        <v>3</v>
      </c>
      <c r="L777" t="s">
        <v>35</v>
      </c>
      <c r="M777" s="9">
        <v>33466</v>
      </c>
      <c r="N777" t="s">
        <v>60</v>
      </c>
      <c r="O777" t="s">
        <v>26</v>
      </c>
      <c r="P777" t="s">
        <v>41</v>
      </c>
      <c r="Q777" s="2">
        <v>45217</v>
      </c>
      <c r="R777" s="13">
        <f t="shared" si="63"/>
        <v>2039.9999999965075</v>
      </c>
      <c r="S777" s="13">
        <f t="shared" si="64"/>
        <v>-489.86666666655799</v>
      </c>
      <c r="T777" s="2">
        <v>45218.416666666664</v>
      </c>
      <c r="U777" t="s">
        <v>42</v>
      </c>
      <c r="V777" t="s">
        <v>29</v>
      </c>
      <c r="W777" t="s">
        <v>47</v>
      </c>
      <c r="X777">
        <v>7</v>
      </c>
      <c r="Y777">
        <v>12</v>
      </c>
      <c r="Z777" t="s">
        <v>68</v>
      </c>
    </row>
    <row r="778" spans="1:26">
      <c r="A778" t="s">
        <v>835</v>
      </c>
      <c r="B778">
        <v>34</v>
      </c>
      <c r="C778" t="str">
        <f t="shared" si="60"/>
        <v>18-35</v>
      </c>
      <c r="D778" t="s">
        <v>52</v>
      </c>
      <c r="E778" s="2">
        <v>45337</v>
      </c>
      <c r="F778" s="2" t="str">
        <f t="shared" ca="1" si="61"/>
        <v>No</v>
      </c>
      <c r="G778" s="2" t="str">
        <f t="shared" si="62"/>
        <v>Feb-2024</v>
      </c>
      <c r="H778" s="2">
        <v>45345</v>
      </c>
      <c r="I778">
        <v>8</v>
      </c>
      <c r="J778" t="s">
        <v>63</v>
      </c>
      <c r="K778">
        <v>1</v>
      </c>
      <c r="L778" t="s">
        <v>71</v>
      </c>
      <c r="M778" s="9">
        <v>15778</v>
      </c>
      <c r="N778" t="s">
        <v>25</v>
      </c>
      <c r="O778" t="s">
        <v>54</v>
      </c>
      <c r="P778" t="s">
        <v>27</v>
      </c>
      <c r="Q778" s="2">
        <v>45336</v>
      </c>
      <c r="R778" s="13">
        <f t="shared" si="63"/>
        <v>2820.0000000034925</v>
      </c>
      <c r="S778" s="13">
        <f t="shared" si="64"/>
        <v>-501.16071428558956</v>
      </c>
      <c r="T778" s="2">
        <v>45337.958333333336</v>
      </c>
      <c r="U778" t="s">
        <v>64</v>
      </c>
      <c r="V778" t="s">
        <v>29</v>
      </c>
      <c r="W778" t="s">
        <v>47</v>
      </c>
      <c r="X778">
        <v>7</v>
      </c>
      <c r="Y778">
        <v>10</v>
      </c>
      <c r="Z778" t="s">
        <v>48</v>
      </c>
    </row>
    <row r="779" spans="1:26">
      <c r="A779" t="s">
        <v>836</v>
      </c>
      <c r="B779">
        <v>6</v>
      </c>
      <c r="C779" t="str">
        <f t="shared" si="60"/>
        <v>0-17</v>
      </c>
      <c r="D779" t="s">
        <v>22</v>
      </c>
      <c r="E779" s="2">
        <v>45109</v>
      </c>
      <c r="F779" s="2" t="str">
        <f t="shared" ca="1" si="61"/>
        <v>No</v>
      </c>
      <c r="G779" s="2" t="str">
        <f t="shared" si="62"/>
        <v>Jul-2023</v>
      </c>
      <c r="H779" s="2">
        <v>44972</v>
      </c>
      <c r="I779">
        <v>8</v>
      </c>
      <c r="J779" t="s">
        <v>40</v>
      </c>
      <c r="K779">
        <v>4</v>
      </c>
      <c r="L779" t="s">
        <v>46</v>
      </c>
      <c r="M779" s="9">
        <v>17501</v>
      </c>
      <c r="N779" t="s">
        <v>25</v>
      </c>
      <c r="O779" t="s">
        <v>54</v>
      </c>
      <c r="P779" t="s">
        <v>27</v>
      </c>
      <c r="Q779" s="2">
        <v>45018</v>
      </c>
      <c r="R779" s="13">
        <f t="shared" si="63"/>
        <v>1020.0000000034925</v>
      </c>
      <c r="S779" s="13">
        <f t="shared" si="64"/>
        <v>-516.05381165908318</v>
      </c>
      <c r="T779" s="2">
        <v>45018.708333333336</v>
      </c>
      <c r="U779" t="s">
        <v>64</v>
      </c>
      <c r="V779" t="s">
        <v>38</v>
      </c>
      <c r="W779" t="s">
        <v>47</v>
      </c>
      <c r="X779">
        <v>10</v>
      </c>
      <c r="Y779">
        <v>8</v>
      </c>
      <c r="Z779" t="s">
        <v>31</v>
      </c>
    </row>
    <row r="780" spans="1:26">
      <c r="A780" t="s">
        <v>837</v>
      </c>
      <c r="B780">
        <v>53</v>
      </c>
      <c r="C780" t="str">
        <f t="shared" si="60"/>
        <v>51-65</v>
      </c>
      <c r="D780" t="s">
        <v>33</v>
      </c>
      <c r="E780" s="2">
        <v>45569</v>
      </c>
      <c r="F780" s="2" t="str">
        <f t="shared" ca="1" si="61"/>
        <v>No</v>
      </c>
      <c r="G780" s="2" t="str">
        <f t="shared" si="62"/>
        <v>Oct-2024</v>
      </c>
      <c r="H780" s="2">
        <v>45402</v>
      </c>
      <c r="I780">
        <v>10</v>
      </c>
      <c r="J780" t="s">
        <v>57</v>
      </c>
      <c r="K780">
        <v>5</v>
      </c>
      <c r="L780" t="s">
        <v>46</v>
      </c>
      <c r="M780" s="9">
        <v>7108</v>
      </c>
      <c r="N780" t="s">
        <v>53</v>
      </c>
      <c r="O780" t="s">
        <v>54</v>
      </c>
      <c r="P780" t="s">
        <v>27</v>
      </c>
      <c r="Q780" s="2">
        <v>45569</v>
      </c>
      <c r="R780" s="13">
        <f t="shared" si="63"/>
        <v>660.00000000349246</v>
      </c>
      <c r="S780" s="13">
        <f t="shared" si="64"/>
        <v>-522.97297297287855</v>
      </c>
      <c r="T780" s="2">
        <v>45569.458333333336</v>
      </c>
      <c r="U780" t="s">
        <v>42</v>
      </c>
      <c r="V780" t="s">
        <v>29</v>
      </c>
      <c r="W780" t="s">
        <v>47</v>
      </c>
      <c r="X780">
        <v>10</v>
      </c>
      <c r="Y780">
        <v>10</v>
      </c>
      <c r="Z780" t="s">
        <v>48</v>
      </c>
    </row>
    <row r="781" spans="1:26">
      <c r="A781" t="s">
        <v>838</v>
      </c>
      <c r="B781">
        <v>66</v>
      </c>
      <c r="C781" t="str">
        <f t="shared" si="60"/>
        <v>66+</v>
      </c>
      <c r="D781" t="s">
        <v>52</v>
      </c>
      <c r="E781" s="2">
        <v>44930</v>
      </c>
      <c r="F781" s="2" t="str">
        <f t="shared" ca="1" si="61"/>
        <v>No</v>
      </c>
      <c r="G781" s="2" t="str">
        <f t="shared" si="62"/>
        <v>Jan-2023</v>
      </c>
      <c r="H781" s="2">
        <v>44961</v>
      </c>
      <c r="I781">
        <v>1</v>
      </c>
      <c r="J781" t="s">
        <v>57</v>
      </c>
      <c r="K781">
        <v>1</v>
      </c>
      <c r="L781" t="s">
        <v>46</v>
      </c>
      <c r="M781" s="9">
        <v>34369</v>
      </c>
      <c r="N781" t="s">
        <v>36</v>
      </c>
      <c r="O781" t="s">
        <v>54</v>
      </c>
      <c r="P781" t="s">
        <v>27</v>
      </c>
      <c r="Q781" s="2">
        <v>45013</v>
      </c>
      <c r="R781" s="13">
        <f t="shared" si="63"/>
        <v>1440</v>
      </c>
      <c r="S781" s="13">
        <f t="shared" si="64"/>
        <v>-528.32579185512463</v>
      </c>
      <c r="T781" s="2">
        <v>45014</v>
      </c>
      <c r="U781" t="s">
        <v>37</v>
      </c>
      <c r="V781" t="s">
        <v>29</v>
      </c>
      <c r="W781" t="s">
        <v>43</v>
      </c>
      <c r="X781">
        <v>6</v>
      </c>
      <c r="Y781">
        <v>12</v>
      </c>
      <c r="Z781" t="s">
        <v>31</v>
      </c>
    </row>
    <row r="782" spans="1:26">
      <c r="A782" t="s">
        <v>839</v>
      </c>
      <c r="B782">
        <v>77</v>
      </c>
      <c r="C782" t="str">
        <f t="shared" si="60"/>
        <v>66+</v>
      </c>
      <c r="D782" t="s">
        <v>45</v>
      </c>
      <c r="E782" s="2">
        <v>45249</v>
      </c>
      <c r="F782" s="2" t="str">
        <f t="shared" ca="1" si="61"/>
        <v>No</v>
      </c>
      <c r="G782" s="2" t="str">
        <f t="shared" si="62"/>
        <v>Nov-2023</v>
      </c>
      <c r="H782" s="2">
        <v>45028</v>
      </c>
      <c r="I782">
        <v>15</v>
      </c>
      <c r="J782" t="s">
        <v>34</v>
      </c>
      <c r="K782">
        <v>3</v>
      </c>
      <c r="L782" t="s">
        <v>24</v>
      </c>
      <c r="M782" s="9">
        <v>41382</v>
      </c>
      <c r="N782" t="s">
        <v>25</v>
      </c>
      <c r="O782" t="s">
        <v>54</v>
      </c>
      <c r="P782" t="s">
        <v>27</v>
      </c>
      <c r="Q782" s="2">
        <v>45246</v>
      </c>
      <c r="R782" s="13">
        <f t="shared" si="63"/>
        <v>540</v>
      </c>
      <c r="S782" s="13">
        <f t="shared" si="64"/>
        <v>-537.2727272726479</v>
      </c>
      <c r="T782" s="2">
        <v>45246.375</v>
      </c>
      <c r="U782" t="s">
        <v>55</v>
      </c>
      <c r="V782" t="s">
        <v>29</v>
      </c>
      <c r="W782" t="s">
        <v>43</v>
      </c>
      <c r="X782">
        <v>10</v>
      </c>
      <c r="Y782">
        <v>10</v>
      </c>
      <c r="Z782" t="s">
        <v>68</v>
      </c>
    </row>
    <row r="783" spans="1:26">
      <c r="A783" t="s">
        <v>840</v>
      </c>
      <c r="B783">
        <v>43</v>
      </c>
      <c r="C783" t="str">
        <f t="shared" si="60"/>
        <v>36-50</v>
      </c>
      <c r="D783" t="s">
        <v>62</v>
      </c>
      <c r="E783" s="2">
        <v>45185</v>
      </c>
      <c r="F783" s="2" t="str">
        <f t="shared" ca="1" si="61"/>
        <v>No</v>
      </c>
      <c r="G783" s="2" t="str">
        <f t="shared" si="62"/>
        <v>Sep-2023</v>
      </c>
      <c r="H783" s="2">
        <v>45187</v>
      </c>
      <c r="I783">
        <v>2</v>
      </c>
      <c r="J783" t="s">
        <v>23</v>
      </c>
      <c r="K783">
        <v>4</v>
      </c>
      <c r="L783" t="s">
        <v>35</v>
      </c>
      <c r="M783" s="9">
        <v>30818</v>
      </c>
      <c r="N783" t="s">
        <v>53</v>
      </c>
      <c r="O783" t="s">
        <v>26</v>
      </c>
      <c r="P783" t="s">
        <v>41</v>
      </c>
      <c r="Q783" s="2">
        <v>45182</v>
      </c>
      <c r="R783" s="13">
        <f t="shared" si="63"/>
        <v>2880</v>
      </c>
      <c r="S783" s="13">
        <f t="shared" si="64"/>
        <v>-542.19178082183805</v>
      </c>
      <c r="T783" s="2">
        <v>45184</v>
      </c>
      <c r="U783" t="s">
        <v>28</v>
      </c>
      <c r="V783" t="s">
        <v>38</v>
      </c>
      <c r="W783" t="s">
        <v>30</v>
      </c>
      <c r="X783">
        <v>10</v>
      </c>
      <c r="Y783">
        <v>12</v>
      </c>
      <c r="Z783" t="s">
        <v>31</v>
      </c>
    </row>
    <row r="784" spans="1:26">
      <c r="A784" t="s">
        <v>841</v>
      </c>
      <c r="B784">
        <v>75</v>
      </c>
      <c r="C784" t="str">
        <f t="shared" si="60"/>
        <v>66+</v>
      </c>
      <c r="D784" t="s">
        <v>62</v>
      </c>
      <c r="E784" s="2">
        <v>45258</v>
      </c>
      <c r="F784" s="2" t="str">
        <f t="shared" ca="1" si="61"/>
        <v>No</v>
      </c>
      <c r="G784" s="2" t="str">
        <f t="shared" si="62"/>
        <v>Nov-2023</v>
      </c>
      <c r="H784" s="2">
        <v>45259</v>
      </c>
      <c r="I784">
        <v>1</v>
      </c>
      <c r="J784" t="s">
        <v>34</v>
      </c>
      <c r="K784">
        <v>5</v>
      </c>
      <c r="L784" t="s">
        <v>71</v>
      </c>
      <c r="M784" s="9">
        <v>15251</v>
      </c>
      <c r="N784" t="s">
        <v>60</v>
      </c>
      <c r="O784" t="s">
        <v>54</v>
      </c>
      <c r="P784" t="s">
        <v>27</v>
      </c>
      <c r="Q784" s="2">
        <v>45254</v>
      </c>
      <c r="R784" s="13">
        <f t="shared" si="63"/>
        <v>1080</v>
      </c>
      <c r="S784" s="13">
        <f t="shared" si="64"/>
        <v>-557.8899082568006</v>
      </c>
      <c r="T784" s="2">
        <v>45254.75</v>
      </c>
      <c r="U784" t="s">
        <v>55</v>
      </c>
      <c r="V784" t="s">
        <v>29</v>
      </c>
      <c r="W784" t="s">
        <v>30</v>
      </c>
      <c r="X784">
        <v>10</v>
      </c>
      <c r="Y784">
        <v>10</v>
      </c>
      <c r="Z784" t="s">
        <v>31</v>
      </c>
    </row>
    <row r="785" spans="1:26">
      <c r="A785" t="s">
        <v>842</v>
      </c>
      <c r="B785">
        <v>23</v>
      </c>
      <c r="C785" t="str">
        <f t="shared" si="60"/>
        <v>18-35</v>
      </c>
      <c r="D785" t="s">
        <v>41</v>
      </c>
      <c r="E785" s="2">
        <v>45045</v>
      </c>
      <c r="F785" s="2" t="str">
        <f t="shared" ca="1" si="61"/>
        <v>No</v>
      </c>
      <c r="G785" s="2" t="str">
        <f t="shared" si="62"/>
        <v>Apr-2023</v>
      </c>
      <c r="H785" s="2">
        <v>45021</v>
      </c>
      <c r="I785">
        <v>5</v>
      </c>
      <c r="J785" t="s">
        <v>50</v>
      </c>
      <c r="K785">
        <v>2</v>
      </c>
      <c r="L785" t="s">
        <v>24</v>
      </c>
      <c r="M785" s="9">
        <v>28341</v>
      </c>
      <c r="N785" t="s">
        <v>25</v>
      </c>
      <c r="O785" t="s">
        <v>26</v>
      </c>
      <c r="P785" t="s">
        <v>41</v>
      </c>
      <c r="Q785" s="2">
        <v>45041</v>
      </c>
      <c r="R785" s="13">
        <f t="shared" si="63"/>
        <v>2820.0000000034925</v>
      </c>
      <c r="S785" s="13">
        <f t="shared" si="64"/>
        <v>-565.43778801835276</v>
      </c>
      <c r="T785" s="2">
        <v>45042.958333333336</v>
      </c>
      <c r="U785" t="s">
        <v>28</v>
      </c>
      <c r="V785" t="s">
        <v>29</v>
      </c>
      <c r="W785" t="s">
        <v>30</v>
      </c>
      <c r="X785">
        <v>11</v>
      </c>
      <c r="Y785">
        <v>10</v>
      </c>
      <c r="Z785" t="s">
        <v>48</v>
      </c>
    </row>
    <row r="786" spans="1:26">
      <c r="A786" t="s">
        <v>843</v>
      </c>
      <c r="B786">
        <v>55</v>
      </c>
      <c r="C786" t="str">
        <f t="shared" si="60"/>
        <v>51-65</v>
      </c>
      <c r="D786" t="s">
        <v>62</v>
      </c>
      <c r="E786" s="2">
        <v>45340</v>
      </c>
      <c r="F786" s="2" t="str">
        <f t="shared" ca="1" si="61"/>
        <v>No</v>
      </c>
      <c r="G786" s="2" t="str">
        <f t="shared" si="62"/>
        <v>Feb-2024</v>
      </c>
      <c r="H786" s="2">
        <v>45344</v>
      </c>
      <c r="I786">
        <v>4</v>
      </c>
      <c r="J786" t="s">
        <v>57</v>
      </c>
      <c r="K786">
        <v>4</v>
      </c>
      <c r="L786" t="s">
        <v>66</v>
      </c>
      <c r="M786" s="9">
        <v>16678</v>
      </c>
      <c r="N786" t="s">
        <v>36</v>
      </c>
      <c r="O786" t="s">
        <v>54</v>
      </c>
      <c r="P786" t="s">
        <v>27</v>
      </c>
      <c r="Q786" s="2">
        <v>45339</v>
      </c>
      <c r="R786" s="13">
        <f t="shared" si="63"/>
        <v>480.00000000349246</v>
      </c>
      <c r="S786" s="13">
        <f t="shared" si="64"/>
        <v>-581.1111111110464</v>
      </c>
      <c r="T786" s="2">
        <v>45339.333333333336</v>
      </c>
      <c r="U786" t="s">
        <v>55</v>
      </c>
      <c r="V786" t="s">
        <v>29</v>
      </c>
      <c r="W786" t="s">
        <v>47</v>
      </c>
      <c r="X786">
        <v>9</v>
      </c>
      <c r="Y786">
        <v>10</v>
      </c>
      <c r="Z786" t="s">
        <v>31</v>
      </c>
    </row>
    <row r="787" spans="1:26">
      <c r="A787" t="s">
        <v>844</v>
      </c>
      <c r="B787">
        <v>80</v>
      </c>
      <c r="C787" t="str">
        <f t="shared" si="60"/>
        <v>66+</v>
      </c>
      <c r="D787" t="s">
        <v>33</v>
      </c>
      <c r="E787" s="2">
        <v>45571</v>
      </c>
      <c r="F787" s="2" t="str">
        <f t="shared" ca="1" si="61"/>
        <v>No</v>
      </c>
      <c r="G787" s="2" t="str">
        <f t="shared" si="62"/>
        <v>Oct-2024</v>
      </c>
      <c r="H787" s="2">
        <v>45467</v>
      </c>
      <c r="I787">
        <v>14</v>
      </c>
      <c r="J787" t="s">
        <v>34</v>
      </c>
      <c r="K787">
        <v>5</v>
      </c>
      <c r="L787" t="s">
        <v>71</v>
      </c>
      <c r="M787" s="9">
        <v>19367</v>
      </c>
      <c r="N787" t="s">
        <v>25</v>
      </c>
      <c r="O787" t="s">
        <v>54</v>
      </c>
      <c r="P787" t="s">
        <v>27</v>
      </c>
      <c r="Q787" s="2">
        <v>45479</v>
      </c>
      <c r="R787" s="13">
        <f t="shared" si="63"/>
        <v>120.00000000349246</v>
      </c>
      <c r="S787" s="13">
        <f t="shared" si="64"/>
        <v>-586.04651162785819</v>
      </c>
      <c r="T787" s="2">
        <v>45479.083333333336</v>
      </c>
      <c r="U787" t="s">
        <v>64</v>
      </c>
      <c r="V787" t="s">
        <v>29</v>
      </c>
      <c r="W787" t="s">
        <v>30</v>
      </c>
      <c r="X787">
        <v>5</v>
      </c>
      <c r="Y787">
        <v>8</v>
      </c>
      <c r="Z787" t="s">
        <v>68</v>
      </c>
    </row>
    <row r="788" spans="1:26">
      <c r="A788" t="s">
        <v>845</v>
      </c>
      <c r="B788">
        <v>75</v>
      </c>
      <c r="C788" t="str">
        <f t="shared" si="60"/>
        <v>66+</v>
      </c>
      <c r="D788" t="s">
        <v>22</v>
      </c>
      <c r="E788" s="2">
        <v>44958</v>
      </c>
      <c r="F788" s="2" t="str">
        <f t="shared" ca="1" si="61"/>
        <v>No</v>
      </c>
      <c r="G788" s="2" t="str">
        <f t="shared" si="62"/>
        <v>Feb-2023</v>
      </c>
      <c r="H788" s="2">
        <v>45047</v>
      </c>
      <c r="I788">
        <v>3</v>
      </c>
      <c r="J788" t="s">
        <v>40</v>
      </c>
      <c r="K788">
        <v>1</v>
      </c>
      <c r="L788" t="s">
        <v>71</v>
      </c>
      <c r="M788" s="9">
        <v>34672</v>
      </c>
      <c r="N788" t="s">
        <v>60</v>
      </c>
      <c r="O788" t="s">
        <v>26</v>
      </c>
      <c r="P788" t="s">
        <v>27</v>
      </c>
      <c r="Q788" s="2">
        <v>44927</v>
      </c>
      <c r="R788" s="13">
        <f t="shared" si="63"/>
        <v>1319.9999999965075</v>
      </c>
      <c r="S788" s="13">
        <f t="shared" si="64"/>
        <v>-589.34579439249069</v>
      </c>
      <c r="T788" s="2">
        <v>44927.916666666664</v>
      </c>
      <c r="U788" t="s">
        <v>37</v>
      </c>
      <c r="V788" t="s">
        <v>38</v>
      </c>
      <c r="W788" t="s">
        <v>43</v>
      </c>
      <c r="X788">
        <v>10</v>
      </c>
      <c r="Y788">
        <v>10</v>
      </c>
      <c r="Z788" t="s">
        <v>31</v>
      </c>
    </row>
    <row r="789" spans="1:26">
      <c r="A789" t="s">
        <v>846</v>
      </c>
      <c r="B789">
        <v>16</v>
      </c>
      <c r="C789" t="str">
        <f t="shared" si="60"/>
        <v>0-17</v>
      </c>
      <c r="D789" t="s">
        <v>45</v>
      </c>
      <c r="E789" s="2">
        <v>45400</v>
      </c>
      <c r="F789" s="2" t="str">
        <f t="shared" ca="1" si="61"/>
        <v>No</v>
      </c>
      <c r="G789" s="2" t="str">
        <f t="shared" si="62"/>
        <v>Apr-2024</v>
      </c>
      <c r="H789" s="2">
        <v>45409</v>
      </c>
      <c r="I789">
        <v>9</v>
      </c>
      <c r="J789" t="s">
        <v>23</v>
      </c>
      <c r="K789">
        <v>2</v>
      </c>
      <c r="L789" t="s">
        <v>71</v>
      </c>
      <c r="M789" s="9">
        <v>9332</v>
      </c>
      <c r="N789" t="s">
        <v>25</v>
      </c>
      <c r="O789" t="s">
        <v>54</v>
      </c>
      <c r="P789" t="s">
        <v>27</v>
      </c>
      <c r="Q789" s="2">
        <v>45398</v>
      </c>
      <c r="R789" s="13">
        <f t="shared" si="63"/>
        <v>1679.9999999965075</v>
      </c>
      <c r="S789" s="13">
        <f t="shared" si="64"/>
        <v>-598.30985915488043</v>
      </c>
      <c r="T789" s="2">
        <v>45399.166666666664</v>
      </c>
      <c r="U789" t="s">
        <v>64</v>
      </c>
      <c r="V789" t="s">
        <v>29</v>
      </c>
      <c r="W789" t="s">
        <v>30</v>
      </c>
      <c r="X789">
        <v>5</v>
      </c>
      <c r="Y789">
        <v>12</v>
      </c>
      <c r="Z789" t="s">
        <v>31</v>
      </c>
    </row>
    <row r="790" spans="1:26">
      <c r="A790" t="s">
        <v>847</v>
      </c>
      <c r="B790">
        <v>8</v>
      </c>
      <c r="C790" t="str">
        <f t="shared" si="60"/>
        <v>0-17</v>
      </c>
      <c r="D790" t="s">
        <v>33</v>
      </c>
      <c r="E790" s="2">
        <v>45350</v>
      </c>
      <c r="F790" s="2" t="str">
        <f t="shared" ca="1" si="61"/>
        <v>No</v>
      </c>
      <c r="G790" s="2" t="str">
        <f t="shared" si="62"/>
        <v>Feb-2024</v>
      </c>
      <c r="H790" s="2">
        <v>45599</v>
      </c>
      <c r="I790">
        <v>12</v>
      </c>
      <c r="J790" t="s">
        <v>23</v>
      </c>
      <c r="K790">
        <v>5</v>
      </c>
      <c r="L790" t="s">
        <v>46</v>
      </c>
      <c r="M790" s="9">
        <v>17002</v>
      </c>
      <c r="N790" t="s">
        <v>36</v>
      </c>
      <c r="O790" t="s">
        <v>54</v>
      </c>
      <c r="P790" t="s">
        <v>27</v>
      </c>
      <c r="Q790" s="2">
        <v>45349</v>
      </c>
      <c r="R790" s="13">
        <f t="shared" si="63"/>
        <v>1080</v>
      </c>
      <c r="S790" s="13">
        <f t="shared" si="64"/>
        <v>-609.05660377351899</v>
      </c>
      <c r="T790" s="2">
        <v>45349.75</v>
      </c>
      <c r="U790" t="s">
        <v>37</v>
      </c>
      <c r="V790" t="s">
        <v>29</v>
      </c>
      <c r="W790" t="s">
        <v>30</v>
      </c>
      <c r="X790">
        <v>5</v>
      </c>
      <c r="Y790">
        <v>12</v>
      </c>
      <c r="Z790" t="s">
        <v>31</v>
      </c>
    </row>
    <row r="791" spans="1:26">
      <c r="A791" t="s">
        <v>848</v>
      </c>
      <c r="B791">
        <v>4</v>
      </c>
      <c r="C791" t="str">
        <f t="shared" si="60"/>
        <v>0-17</v>
      </c>
      <c r="D791" t="s">
        <v>45</v>
      </c>
      <c r="E791" s="2">
        <v>44982</v>
      </c>
      <c r="F791" s="2" t="str">
        <f t="shared" ca="1" si="61"/>
        <v>No</v>
      </c>
      <c r="G791" s="2" t="str">
        <f t="shared" si="62"/>
        <v>Feb-2023</v>
      </c>
      <c r="H791" s="2">
        <v>45110</v>
      </c>
      <c r="I791">
        <v>10</v>
      </c>
      <c r="J791" t="s">
        <v>63</v>
      </c>
      <c r="K791">
        <v>5</v>
      </c>
      <c r="L791" t="s">
        <v>71</v>
      </c>
      <c r="M791" s="9">
        <v>25284</v>
      </c>
      <c r="N791" t="s">
        <v>53</v>
      </c>
      <c r="O791" t="s">
        <v>54</v>
      </c>
      <c r="P791" t="s">
        <v>27</v>
      </c>
      <c r="Q791" s="2">
        <v>44980</v>
      </c>
      <c r="R791" s="13">
        <f t="shared" si="63"/>
        <v>2039.9999999965075</v>
      </c>
      <c r="S791" s="13">
        <f t="shared" si="64"/>
        <v>-617.0616113743414</v>
      </c>
      <c r="T791" s="2">
        <v>44981.416666666664</v>
      </c>
      <c r="U791" t="s">
        <v>42</v>
      </c>
      <c r="V791" t="s">
        <v>29</v>
      </c>
      <c r="W791" t="s">
        <v>43</v>
      </c>
      <c r="X791">
        <v>7</v>
      </c>
      <c r="Y791">
        <v>8</v>
      </c>
      <c r="Z791" t="s">
        <v>48</v>
      </c>
    </row>
    <row r="792" spans="1:26">
      <c r="A792" t="s">
        <v>849</v>
      </c>
      <c r="B792">
        <v>4</v>
      </c>
      <c r="C792" t="str">
        <f t="shared" si="60"/>
        <v>0-17</v>
      </c>
      <c r="D792" t="s">
        <v>45</v>
      </c>
      <c r="E792" s="2">
        <v>45267</v>
      </c>
      <c r="F792" s="2" t="str">
        <f t="shared" ca="1" si="61"/>
        <v>No</v>
      </c>
      <c r="G792" s="2" t="str">
        <f t="shared" si="62"/>
        <v>Dec-2023</v>
      </c>
      <c r="H792" s="2">
        <v>45128</v>
      </c>
      <c r="I792">
        <v>9</v>
      </c>
      <c r="J792" t="s">
        <v>40</v>
      </c>
      <c r="K792">
        <v>3</v>
      </c>
      <c r="L792" t="s">
        <v>35</v>
      </c>
      <c r="M792" s="9">
        <v>20700</v>
      </c>
      <c r="N792" t="s">
        <v>36</v>
      </c>
      <c r="O792" t="s">
        <v>54</v>
      </c>
      <c r="P792" t="s">
        <v>41</v>
      </c>
      <c r="Q792" s="2">
        <v>45114</v>
      </c>
      <c r="R792" s="13">
        <f t="shared" si="63"/>
        <v>300.00000000349246</v>
      </c>
      <c r="S792" s="13">
        <f t="shared" si="64"/>
        <v>-629.71428571420256</v>
      </c>
      <c r="T792" s="2">
        <v>45114.208333333336</v>
      </c>
      <c r="U792" t="s">
        <v>28</v>
      </c>
      <c r="V792" t="s">
        <v>29</v>
      </c>
      <c r="W792" t="s">
        <v>43</v>
      </c>
      <c r="X792">
        <v>10</v>
      </c>
      <c r="Y792">
        <v>8</v>
      </c>
      <c r="Z792" t="s">
        <v>31</v>
      </c>
    </row>
    <row r="793" spans="1:26">
      <c r="A793" t="s">
        <v>850</v>
      </c>
      <c r="B793">
        <v>56</v>
      </c>
      <c r="C793" t="str">
        <f t="shared" si="60"/>
        <v>51-65</v>
      </c>
      <c r="D793" t="s">
        <v>22</v>
      </c>
      <c r="E793" s="2">
        <v>45457</v>
      </c>
      <c r="F793" s="2" t="str">
        <f t="shared" ca="1" si="61"/>
        <v>No</v>
      </c>
      <c r="G793" s="2" t="str">
        <f t="shared" si="62"/>
        <v>Jun-2024</v>
      </c>
      <c r="H793" s="2">
        <v>45464</v>
      </c>
      <c r="I793">
        <v>7</v>
      </c>
      <c r="J793" t="s">
        <v>63</v>
      </c>
      <c r="K793">
        <v>4</v>
      </c>
      <c r="L793" t="s">
        <v>71</v>
      </c>
      <c r="M793" s="9">
        <v>18769</v>
      </c>
      <c r="N793" t="s">
        <v>53</v>
      </c>
      <c r="O793" t="s">
        <v>54</v>
      </c>
      <c r="P793" t="s">
        <v>27</v>
      </c>
      <c r="Q793" s="2">
        <v>45457</v>
      </c>
      <c r="R793" s="13">
        <f t="shared" si="63"/>
        <v>1020.0000000034925</v>
      </c>
      <c r="S793" s="13">
        <f t="shared" si="64"/>
        <v>-634.16267942577053</v>
      </c>
      <c r="T793" s="2">
        <v>45457.708333333336</v>
      </c>
      <c r="U793" t="s">
        <v>28</v>
      </c>
      <c r="V793" t="s">
        <v>29</v>
      </c>
      <c r="W793" t="s">
        <v>47</v>
      </c>
      <c r="X793">
        <v>6</v>
      </c>
      <c r="Y793">
        <v>12</v>
      </c>
      <c r="Z793" t="s">
        <v>31</v>
      </c>
    </row>
    <row r="794" spans="1:26">
      <c r="A794" t="s">
        <v>851</v>
      </c>
      <c r="B794">
        <v>25</v>
      </c>
      <c r="C794" t="str">
        <f t="shared" si="60"/>
        <v>18-35</v>
      </c>
      <c r="D794" t="s">
        <v>41</v>
      </c>
      <c r="E794" s="2">
        <v>45444</v>
      </c>
      <c r="F794" s="2" t="str">
        <f t="shared" ca="1" si="61"/>
        <v>No</v>
      </c>
      <c r="G794" s="2" t="str">
        <f t="shared" si="62"/>
        <v>Jun-2024</v>
      </c>
      <c r="H794" s="2">
        <v>45505</v>
      </c>
      <c r="I794">
        <v>2</v>
      </c>
      <c r="J794" t="s">
        <v>34</v>
      </c>
      <c r="K794">
        <v>3</v>
      </c>
      <c r="L794" t="s">
        <v>46</v>
      </c>
      <c r="M794" s="9">
        <v>34318</v>
      </c>
      <c r="N794" t="s">
        <v>67</v>
      </c>
      <c r="O794" t="s">
        <v>54</v>
      </c>
      <c r="P794" t="s">
        <v>27</v>
      </c>
      <c r="Q794" s="2">
        <v>45352</v>
      </c>
      <c r="R794" s="13">
        <f t="shared" si="63"/>
        <v>45959.999999996508</v>
      </c>
      <c r="S794" s="13">
        <f t="shared" si="64"/>
        <v>-642.11538461533428</v>
      </c>
      <c r="T794" s="2">
        <v>45383.916666666664</v>
      </c>
      <c r="U794" t="s">
        <v>42</v>
      </c>
      <c r="V794" t="s">
        <v>29</v>
      </c>
      <c r="W794" t="s">
        <v>43</v>
      </c>
      <c r="X794">
        <v>9</v>
      </c>
      <c r="Y794">
        <v>10</v>
      </c>
      <c r="Z794" t="s">
        <v>48</v>
      </c>
    </row>
    <row r="795" spans="1:26">
      <c r="A795" t="s">
        <v>852</v>
      </c>
      <c r="B795">
        <v>67</v>
      </c>
      <c r="C795" t="str">
        <f t="shared" si="60"/>
        <v>66+</v>
      </c>
      <c r="D795" t="s">
        <v>62</v>
      </c>
      <c r="E795" s="2">
        <v>45437</v>
      </c>
      <c r="F795" s="2" t="str">
        <f t="shared" ca="1" si="61"/>
        <v>No</v>
      </c>
      <c r="G795" s="2" t="str">
        <f t="shared" si="62"/>
        <v>May-2024</v>
      </c>
      <c r="H795" s="2">
        <v>45479</v>
      </c>
      <c r="I795">
        <v>13</v>
      </c>
      <c r="J795" t="s">
        <v>50</v>
      </c>
      <c r="K795">
        <v>2</v>
      </c>
      <c r="L795" t="s">
        <v>71</v>
      </c>
      <c r="M795" s="9">
        <v>29323</v>
      </c>
      <c r="N795" t="s">
        <v>36</v>
      </c>
      <c r="O795" t="s">
        <v>54</v>
      </c>
      <c r="P795" t="s">
        <v>27</v>
      </c>
      <c r="Q795" s="2">
        <v>45435</v>
      </c>
      <c r="R795" s="13">
        <f t="shared" si="63"/>
        <v>2219.9999999965075</v>
      </c>
      <c r="S795" s="13">
        <f t="shared" si="64"/>
        <v>-867.24637681152672</v>
      </c>
      <c r="T795" s="2">
        <v>45436.541666666664</v>
      </c>
      <c r="U795" t="s">
        <v>55</v>
      </c>
      <c r="V795" t="s">
        <v>29</v>
      </c>
      <c r="W795" t="s">
        <v>43</v>
      </c>
      <c r="X795">
        <v>6</v>
      </c>
      <c r="Y795">
        <v>12</v>
      </c>
      <c r="Z795" t="s">
        <v>48</v>
      </c>
    </row>
    <row r="796" spans="1:26">
      <c r="A796" t="s">
        <v>853</v>
      </c>
      <c r="B796">
        <v>67</v>
      </c>
      <c r="C796" t="str">
        <f t="shared" si="60"/>
        <v>66+</v>
      </c>
      <c r="D796" t="s">
        <v>22</v>
      </c>
      <c r="E796" s="2">
        <v>45379</v>
      </c>
      <c r="F796" s="2" t="str">
        <f t="shared" ca="1" si="61"/>
        <v>No</v>
      </c>
      <c r="G796" s="2" t="str">
        <f t="shared" si="62"/>
        <v>Mar-2024</v>
      </c>
      <c r="H796" s="2">
        <v>45326</v>
      </c>
      <c r="I796">
        <v>5</v>
      </c>
      <c r="J796" t="s">
        <v>40</v>
      </c>
      <c r="K796">
        <v>5</v>
      </c>
      <c r="L796" t="s">
        <v>66</v>
      </c>
      <c r="M796" s="9">
        <v>32610</v>
      </c>
      <c r="N796" t="s">
        <v>36</v>
      </c>
      <c r="O796" t="s">
        <v>54</v>
      </c>
      <c r="P796" t="s">
        <v>27</v>
      </c>
      <c r="Q796" s="2">
        <v>45379</v>
      </c>
      <c r="R796" s="13">
        <f t="shared" si="63"/>
        <v>2460.0000000034925</v>
      </c>
      <c r="S796" s="13">
        <f t="shared" si="64"/>
        <v>-882.23300970865307</v>
      </c>
      <c r="T796" s="2">
        <v>45380.708333333336</v>
      </c>
      <c r="U796" t="s">
        <v>42</v>
      </c>
      <c r="V796" t="s">
        <v>29</v>
      </c>
      <c r="W796" t="s">
        <v>30</v>
      </c>
      <c r="X796">
        <v>10</v>
      </c>
      <c r="Y796">
        <v>8</v>
      </c>
      <c r="Z796" t="s">
        <v>48</v>
      </c>
    </row>
    <row r="797" spans="1:26">
      <c r="A797" t="s">
        <v>854</v>
      </c>
      <c r="B797">
        <v>27</v>
      </c>
      <c r="C797" t="str">
        <f t="shared" si="60"/>
        <v>18-35</v>
      </c>
      <c r="D797" t="s">
        <v>33</v>
      </c>
      <c r="E797" s="2">
        <v>44979</v>
      </c>
      <c r="F797" s="2" t="str">
        <f t="shared" ca="1" si="61"/>
        <v>No</v>
      </c>
      <c r="G797" s="2" t="str">
        <f t="shared" si="62"/>
        <v>Feb-2023</v>
      </c>
      <c r="H797" s="2">
        <v>44983</v>
      </c>
      <c r="I797">
        <v>4</v>
      </c>
      <c r="J797" t="s">
        <v>40</v>
      </c>
      <c r="K797">
        <v>3</v>
      </c>
      <c r="L797" t="s">
        <v>66</v>
      </c>
      <c r="M797" s="9">
        <v>11963</v>
      </c>
      <c r="N797" t="s">
        <v>60</v>
      </c>
      <c r="O797" t="s">
        <v>26</v>
      </c>
      <c r="P797" t="s">
        <v>41</v>
      </c>
      <c r="Q797" s="2">
        <v>44975</v>
      </c>
      <c r="R797" s="13">
        <f t="shared" si="63"/>
        <v>300.00000000349246</v>
      </c>
      <c r="S797" s="13">
        <f t="shared" si="64"/>
        <v>-898.53658536578553</v>
      </c>
      <c r="T797" s="2">
        <v>44975.208333333336</v>
      </c>
      <c r="U797" t="s">
        <v>42</v>
      </c>
      <c r="V797" t="s">
        <v>29</v>
      </c>
      <c r="W797" t="s">
        <v>43</v>
      </c>
      <c r="X797">
        <v>6</v>
      </c>
      <c r="Y797">
        <v>8</v>
      </c>
      <c r="Z797" t="s">
        <v>48</v>
      </c>
    </row>
    <row r="798" spans="1:26">
      <c r="A798" t="s">
        <v>855</v>
      </c>
      <c r="B798">
        <v>32</v>
      </c>
      <c r="C798" t="str">
        <f t="shared" si="60"/>
        <v>18-35</v>
      </c>
      <c r="D798" t="s">
        <v>41</v>
      </c>
      <c r="E798" s="2">
        <v>45135</v>
      </c>
      <c r="F798" s="2" t="str">
        <f t="shared" ca="1" si="61"/>
        <v>No</v>
      </c>
      <c r="G798" s="2" t="str">
        <f t="shared" si="62"/>
        <v>Jul-2023</v>
      </c>
      <c r="H798" s="2">
        <v>44965</v>
      </c>
      <c r="I798">
        <v>5</v>
      </c>
      <c r="J798" t="s">
        <v>40</v>
      </c>
      <c r="K798">
        <v>4</v>
      </c>
      <c r="L798" t="s">
        <v>46</v>
      </c>
      <c r="M798" s="9">
        <v>12838</v>
      </c>
      <c r="N798" t="s">
        <v>25</v>
      </c>
      <c r="O798" t="s">
        <v>26</v>
      </c>
      <c r="P798" t="s">
        <v>27</v>
      </c>
      <c r="Q798" s="2">
        <v>45130</v>
      </c>
      <c r="R798" s="13">
        <f t="shared" si="63"/>
        <v>1920.0000000034925</v>
      </c>
      <c r="S798" s="13">
        <f t="shared" si="64"/>
        <v>-904.41176470583105</v>
      </c>
      <c r="T798" s="2">
        <v>45131.333333333336</v>
      </c>
      <c r="U798" t="s">
        <v>37</v>
      </c>
      <c r="V798" t="s">
        <v>29</v>
      </c>
      <c r="W798" t="s">
        <v>47</v>
      </c>
      <c r="X798">
        <v>10</v>
      </c>
      <c r="Y798">
        <v>12</v>
      </c>
      <c r="Z798" t="s">
        <v>68</v>
      </c>
    </row>
    <row r="799" spans="1:26">
      <c r="A799" t="s">
        <v>856</v>
      </c>
      <c r="B799">
        <v>50</v>
      </c>
      <c r="C799" t="str">
        <f t="shared" si="60"/>
        <v>36-50</v>
      </c>
      <c r="D799" t="s">
        <v>33</v>
      </c>
      <c r="E799" s="2">
        <v>44936</v>
      </c>
      <c r="F799" s="2" t="str">
        <f t="shared" ca="1" si="61"/>
        <v>No</v>
      </c>
      <c r="G799" s="2" t="str">
        <f t="shared" si="62"/>
        <v>Jan-2023</v>
      </c>
      <c r="H799" s="2">
        <v>44995</v>
      </c>
      <c r="I799">
        <v>2</v>
      </c>
      <c r="J799" t="s">
        <v>63</v>
      </c>
      <c r="K799">
        <v>2</v>
      </c>
      <c r="L799" t="s">
        <v>35</v>
      </c>
      <c r="M799" s="9">
        <v>17243</v>
      </c>
      <c r="N799" t="s">
        <v>53</v>
      </c>
      <c r="O799" t="s">
        <v>26</v>
      </c>
      <c r="P799" t="s">
        <v>27</v>
      </c>
      <c r="Q799" s="2">
        <v>45199</v>
      </c>
      <c r="R799" s="13">
        <f t="shared" si="63"/>
        <v>-378360</v>
      </c>
      <c r="S799" s="13">
        <f t="shared" si="64"/>
        <v>-918.32512315267491</v>
      </c>
      <c r="T799" s="2">
        <v>44936.25</v>
      </c>
      <c r="U799" t="s">
        <v>42</v>
      </c>
      <c r="V799" t="s">
        <v>29</v>
      </c>
      <c r="W799" t="s">
        <v>30</v>
      </c>
      <c r="X799">
        <v>9</v>
      </c>
      <c r="Y799">
        <v>10</v>
      </c>
      <c r="Z799" t="s">
        <v>68</v>
      </c>
    </row>
    <row r="800" spans="1:26">
      <c r="A800" t="s">
        <v>857</v>
      </c>
      <c r="B800">
        <v>61</v>
      </c>
      <c r="C800" t="str">
        <f t="shared" si="60"/>
        <v>51-65</v>
      </c>
      <c r="D800" t="s">
        <v>41</v>
      </c>
      <c r="E800" s="2">
        <v>45061</v>
      </c>
      <c r="F800" s="2" t="str">
        <f t="shared" ca="1" si="61"/>
        <v>No</v>
      </c>
      <c r="G800" s="2" t="str">
        <f t="shared" si="62"/>
        <v>May-2023</v>
      </c>
      <c r="H800" s="2">
        <v>45062</v>
      </c>
      <c r="I800">
        <v>1</v>
      </c>
      <c r="J800" t="s">
        <v>34</v>
      </c>
      <c r="K800">
        <v>1</v>
      </c>
      <c r="L800" t="s">
        <v>35</v>
      </c>
      <c r="M800" s="9">
        <v>32939</v>
      </c>
      <c r="N800" t="s">
        <v>53</v>
      </c>
      <c r="O800" t="s">
        <v>54</v>
      </c>
      <c r="P800" t="s">
        <v>41</v>
      </c>
      <c r="Q800" s="2">
        <v>45061</v>
      </c>
      <c r="R800" s="13">
        <f t="shared" si="63"/>
        <v>1980</v>
      </c>
      <c r="S800" s="13">
        <f t="shared" si="64"/>
        <v>950.19801980201476</v>
      </c>
      <c r="T800" s="2">
        <v>45062.375</v>
      </c>
      <c r="U800" t="s">
        <v>28</v>
      </c>
      <c r="V800" t="s">
        <v>29</v>
      </c>
      <c r="W800" t="s">
        <v>47</v>
      </c>
      <c r="X800">
        <v>4</v>
      </c>
      <c r="Y800">
        <v>10</v>
      </c>
      <c r="Z800" t="s">
        <v>31</v>
      </c>
    </row>
    <row r="801" spans="1:26">
      <c r="A801" t="s">
        <v>858</v>
      </c>
      <c r="B801">
        <v>51</v>
      </c>
      <c r="C801" t="str">
        <f t="shared" si="60"/>
        <v>51-65</v>
      </c>
      <c r="D801" t="s">
        <v>33</v>
      </c>
      <c r="E801" s="2">
        <v>45221</v>
      </c>
      <c r="F801" s="2" t="str">
        <f t="shared" ca="1" si="61"/>
        <v>No</v>
      </c>
      <c r="G801" s="2" t="str">
        <f t="shared" si="62"/>
        <v>Oct-2023</v>
      </c>
      <c r="H801" s="2">
        <v>45225</v>
      </c>
      <c r="I801">
        <v>4</v>
      </c>
      <c r="J801" t="s">
        <v>40</v>
      </c>
      <c r="K801">
        <v>3</v>
      </c>
      <c r="L801" t="s">
        <v>24</v>
      </c>
      <c r="M801" s="9">
        <v>6845</v>
      </c>
      <c r="N801" t="s">
        <v>60</v>
      </c>
      <c r="O801" t="s">
        <v>26</v>
      </c>
      <c r="P801" t="s">
        <v>27</v>
      </c>
      <c r="Q801" s="2">
        <v>45219</v>
      </c>
      <c r="R801" s="13">
        <f t="shared" si="63"/>
        <v>1440</v>
      </c>
      <c r="S801" s="13">
        <f t="shared" si="64"/>
        <v>945.07462686570636</v>
      </c>
      <c r="T801" s="2">
        <v>45220</v>
      </c>
      <c r="U801" t="s">
        <v>64</v>
      </c>
      <c r="V801" t="s">
        <v>29</v>
      </c>
      <c r="W801" t="s">
        <v>43</v>
      </c>
      <c r="X801">
        <v>9</v>
      </c>
      <c r="Y801">
        <v>8</v>
      </c>
      <c r="Z801" t="s">
        <v>68</v>
      </c>
    </row>
    <row r="802" spans="1:26">
      <c r="A802" t="s">
        <v>859</v>
      </c>
      <c r="B802">
        <v>19</v>
      </c>
      <c r="C802" t="str">
        <f t="shared" si="60"/>
        <v>18-35</v>
      </c>
      <c r="D802" t="s">
        <v>22</v>
      </c>
      <c r="E802" s="2">
        <v>45375</v>
      </c>
      <c r="F802" s="2" t="str">
        <f t="shared" ca="1" si="61"/>
        <v>No</v>
      </c>
      <c r="G802" s="2" t="str">
        <f t="shared" si="62"/>
        <v>Mar-2024</v>
      </c>
      <c r="H802" s="2">
        <v>45382</v>
      </c>
      <c r="I802">
        <v>7</v>
      </c>
      <c r="J802" t="s">
        <v>40</v>
      </c>
      <c r="K802">
        <v>2</v>
      </c>
      <c r="L802" t="s">
        <v>46</v>
      </c>
      <c r="M802" s="9">
        <v>21766</v>
      </c>
      <c r="N802" t="s">
        <v>60</v>
      </c>
      <c r="O802" t="s">
        <v>26</v>
      </c>
      <c r="P802" t="s">
        <v>27</v>
      </c>
      <c r="Q802" s="2">
        <v>45372</v>
      </c>
      <c r="R802" s="13">
        <f t="shared" si="63"/>
        <v>239.99999999650754</v>
      </c>
      <c r="S802" s="13">
        <f t="shared" si="64"/>
        <v>942.60000000003492</v>
      </c>
      <c r="T802" s="2">
        <v>45372.166666666664</v>
      </c>
      <c r="U802" t="s">
        <v>37</v>
      </c>
      <c r="V802" t="s">
        <v>29</v>
      </c>
      <c r="W802" t="s">
        <v>47</v>
      </c>
      <c r="X802">
        <v>11</v>
      </c>
      <c r="Y802">
        <v>12</v>
      </c>
      <c r="Z802" t="s">
        <v>31</v>
      </c>
    </row>
    <row r="803" spans="1:26">
      <c r="A803" t="s">
        <v>860</v>
      </c>
      <c r="B803">
        <v>21</v>
      </c>
      <c r="C803" t="str">
        <f t="shared" si="60"/>
        <v>18-35</v>
      </c>
      <c r="D803" t="s">
        <v>41</v>
      </c>
      <c r="E803" s="2">
        <v>45601</v>
      </c>
      <c r="F803" s="2" t="str">
        <f t="shared" ca="1" si="61"/>
        <v>No</v>
      </c>
      <c r="G803" s="2" t="str">
        <f t="shared" si="62"/>
        <v>Nov-2024</v>
      </c>
      <c r="H803" s="2">
        <v>45434</v>
      </c>
      <c r="I803">
        <v>11</v>
      </c>
      <c r="J803" t="s">
        <v>23</v>
      </c>
      <c r="K803">
        <v>1</v>
      </c>
      <c r="L803" t="s">
        <v>71</v>
      </c>
      <c r="M803" s="9">
        <v>41880</v>
      </c>
      <c r="N803" t="s">
        <v>25</v>
      </c>
      <c r="O803" t="s">
        <v>26</v>
      </c>
      <c r="P803" t="s">
        <v>27</v>
      </c>
      <c r="Q803" s="2">
        <v>45448</v>
      </c>
      <c r="R803" s="13">
        <f t="shared" si="63"/>
        <v>43680.000000003492</v>
      </c>
      <c r="S803" s="13">
        <f t="shared" si="64"/>
        <v>946.13065326638434</v>
      </c>
      <c r="T803" s="2">
        <v>45478.333333333336</v>
      </c>
      <c r="U803" t="s">
        <v>37</v>
      </c>
      <c r="V803" t="s">
        <v>29</v>
      </c>
      <c r="W803" t="s">
        <v>47</v>
      </c>
      <c r="X803">
        <v>4</v>
      </c>
      <c r="Y803">
        <v>12</v>
      </c>
      <c r="Z803" t="s">
        <v>68</v>
      </c>
    </row>
    <row r="804" spans="1:26">
      <c r="A804" t="s">
        <v>861</v>
      </c>
      <c r="B804">
        <v>5</v>
      </c>
      <c r="C804" t="str">
        <f t="shared" si="60"/>
        <v>0-17</v>
      </c>
      <c r="D804" t="s">
        <v>41</v>
      </c>
      <c r="E804" s="2">
        <v>45051</v>
      </c>
      <c r="F804" s="2" t="str">
        <f t="shared" ca="1" si="61"/>
        <v>No</v>
      </c>
      <c r="G804" s="2" t="str">
        <f t="shared" si="62"/>
        <v>May-2023</v>
      </c>
      <c r="H804" s="2">
        <v>45064</v>
      </c>
      <c r="I804">
        <v>13</v>
      </c>
      <c r="J804" t="s">
        <v>50</v>
      </c>
      <c r="K804">
        <v>3</v>
      </c>
      <c r="L804" t="s">
        <v>46</v>
      </c>
      <c r="M804" s="9">
        <v>17780</v>
      </c>
      <c r="N804" t="s">
        <v>25</v>
      </c>
      <c r="O804" t="s">
        <v>54</v>
      </c>
      <c r="P804" t="s">
        <v>27</v>
      </c>
      <c r="Q804" s="2">
        <v>44931</v>
      </c>
      <c r="R804" s="13">
        <f t="shared" si="63"/>
        <v>45419.999999996508</v>
      </c>
      <c r="S804" s="13">
        <f t="shared" si="64"/>
        <v>730.30303030306561</v>
      </c>
      <c r="T804" s="2">
        <v>44962.541666666664</v>
      </c>
      <c r="U804" t="s">
        <v>55</v>
      </c>
      <c r="V804" t="s">
        <v>29</v>
      </c>
      <c r="W804" t="s">
        <v>43</v>
      </c>
      <c r="X804">
        <v>8</v>
      </c>
      <c r="Y804">
        <v>8</v>
      </c>
      <c r="Z804" t="s">
        <v>48</v>
      </c>
    </row>
    <row r="805" spans="1:26">
      <c r="A805" t="s">
        <v>862</v>
      </c>
      <c r="B805">
        <v>82</v>
      </c>
      <c r="C805" t="str">
        <f t="shared" si="60"/>
        <v>66+</v>
      </c>
      <c r="D805" t="s">
        <v>45</v>
      </c>
      <c r="E805" s="2">
        <v>44956</v>
      </c>
      <c r="F805" s="2" t="str">
        <f t="shared" ca="1" si="61"/>
        <v>No</v>
      </c>
      <c r="G805" s="2" t="str">
        <f t="shared" si="62"/>
        <v>Jan-2023</v>
      </c>
      <c r="H805" s="2">
        <v>45171</v>
      </c>
      <c r="I805">
        <v>10</v>
      </c>
      <c r="J805" t="s">
        <v>23</v>
      </c>
      <c r="K805">
        <v>2</v>
      </c>
      <c r="L805" t="s">
        <v>24</v>
      </c>
      <c r="M805" s="9">
        <v>47856</v>
      </c>
      <c r="N805" t="s">
        <v>36</v>
      </c>
      <c r="O805" t="s">
        <v>54</v>
      </c>
      <c r="P805" t="s">
        <v>41</v>
      </c>
      <c r="Q805" s="2">
        <v>44952</v>
      </c>
      <c r="R805" s="13">
        <f t="shared" si="63"/>
        <v>660.00000000349246</v>
      </c>
      <c r="S805" s="13">
        <f t="shared" si="64"/>
        <v>503.4517766497994</v>
      </c>
      <c r="T805" s="2">
        <v>44952.458333333336</v>
      </c>
      <c r="U805" t="s">
        <v>64</v>
      </c>
      <c r="V805" t="s">
        <v>29</v>
      </c>
      <c r="W805" t="s">
        <v>43</v>
      </c>
      <c r="X805">
        <v>4</v>
      </c>
      <c r="Y805">
        <v>12</v>
      </c>
      <c r="Z805" t="s">
        <v>48</v>
      </c>
    </row>
    <row r="806" spans="1:26">
      <c r="A806" t="s">
        <v>863</v>
      </c>
      <c r="B806">
        <v>42</v>
      </c>
      <c r="C806" t="str">
        <f t="shared" si="60"/>
        <v>36-50</v>
      </c>
      <c r="D806" t="s">
        <v>45</v>
      </c>
      <c r="E806" s="2">
        <v>44994</v>
      </c>
      <c r="F806" s="2" t="str">
        <f t="shared" ca="1" si="61"/>
        <v>No</v>
      </c>
      <c r="G806" s="2" t="str">
        <f t="shared" si="62"/>
        <v>Mar-2023</v>
      </c>
      <c r="H806" s="2">
        <v>45239</v>
      </c>
      <c r="I806">
        <v>8</v>
      </c>
      <c r="J806" t="s">
        <v>23</v>
      </c>
      <c r="K806">
        <v>2</v>
      </c>
      <c r="L806" t="s">
        <v>46</v>
      </c>
      <c r="M806" s="9">
        <v>6509</v>
      </c>
      <c r="N806" t="s">
        <v>67</v>
      </c>
      <c r="O806" t="s">
        <v>26</v>
      </c>
      <c r="P806" t="s">
        <v>27</v>
      </c>
      <c r="Q806" s="2">
        <v>44994</v>
      </c>
      <c r="R806" s="13">
        <f t="shared" si="63"/>
        <v>44640</v>
      </c>
      <c r="S806" s="13">
        <f t="shared" si="64"/>
        <v>502.65306122452546</v>
      </c>
      <c r="T806" s="2">
        <v>45025</v>
      </c>
      <c r="U806" t="s">
        <v>37</v>
      </c>
      <c r="V806" t="s">
        <v>29</v>
      </c>
      <c r="W806" t="s">
        <v>30</v>
      </c>
      <c r="X806">
        <v>5</v>
      </c>
      <c r="Y806">
        <v>8</v>
      </c>
      <c r="Z806" t="s">
        <v>68</v>
      </c>
    </row>
    <row r="807" spans="1:26">
      <c r="A807" t="s">
        <v>864</v>
      </c>
      <c r="B807">
        <v>61</v>
      </c>
      <c r="C807" t="str">
        <f t="shared" si="60"/>
        <v>51-65</v>
      </c>
      <c r="D807" t="s">
        <v>52</v>
      </c>
      <c r="E807" s="2">
        <v>45266</v>
      </c>
      <c r="F807" s="2" t="str">
        <f t="shared" ca="1" si="61"/>
        <v>No</v>
      </c>
      <c r="G807" s="2" t="str">
        <f t="shared" si="62"/>
        <v>Dec-2023</v>
      </c>
      <c r="H807" s="2">
        <v>45091</v>
      </c>
      <c r="I807">
        <v>2</v>
      </c>
      <c r="J807" t="s">
        <v>50</v>
      </c>
      <c r="K807">
        <v>3</v>
      </c>
      <c r="L807" t="s">
        <v>46</v>
      </c>
      <c r="M807" s="9">
        <v>28957</v>
      </c>
      <c r="N807" t="s">
        <v>25</v>
      </c>
      <c r="O807" t="s">
        <v>54</v>
      </c>
      <c r="P807" t="s">
        <v>27</v>
      </c>
      <c r="Q807" s="2">
        <v>45266</v>
      </c>
      <c r="R807" s="13">
        <f t="shared" si="63"/>
        <v>660.00000000349246</v>
      </c>
      <c r="S807" s="13">
        <f t="shared" si="64"/>
        <v>276.30769230772813</v>
      </c>
      <c r="T807" s="2">
        <v>45266.458333333336</v>
      </c>
      <c r="U807" t="s">
        <v>42</v>
      </c>
      <c r="V807" t="s">
        <v>29</v>
      </c>
      <c r="W807" t="s">
        <v>30</v>
      </c>
      <c r="X807">
        <v>11</v>
      </c>
      <c r="Y807">
        <v>10</v>
      </c>
      <c r="Z807" t="s">
        <v>68</v>
      </c>
    </row>
    <row r="808" spans="1:26">
      <c r="A808" t="s">
        <v>865</v>
      </c>
      <c r="B808">
        <v>22</v>
      </c>
      <c r="C808" t="str">
        <f t="shared" si="60"/>
        <v>18-35</v>
      </c>
      <c r="D808" t="s">
        <v>33</v>
      </c>
      <c r="E808" s="2">
        <v>45245</v>
      </c>
      <c r="F808" s="2" t="str">
        <f t="shared" ca="1" si="61"/>
        <v>No</v>
      </c>
      <c r="G808" s="2" t="str">
        <f t="shared" si="62"/>
        <v>Nov-2023</v>
      </c>
      <c r="H808" s="2">
        <v>45247</v>
      </c>
      <c r="I808">
        <v>2</v>
      </c>
      <c r="J808" t="s">
        <v>34</v>
      </c>
      <c r="K808">
        <v>2</v>
      </c>
      <c r="L808" t="s">
        <v>24</v>
      </c>
      <c r="M808" s="9">
        <v>39346</v>
      </c>
      <c r="N808" t="s">
        <v>60</v>
      </c>
      <c r="O808" t="s">
        <v>54</v>
      </c>
      <c r="P808" t="s">
        <v>27</v>
      </c>
      <c r="Q808" s="2">
        <v>45244</v>
      </c>
      <c r="R808" s="13">
        <f t="shared" si="63"/>
        <v>1020.0000000034925</v>
      </c>
      <c r="S808" s="13">
        <f t="shared" si="64"/>
        <v>274.32989690723451</v>
      </c>
      <c r="T808" s="2">
        <v>45244.708333333336</v>
      </c>
      <c r="U808" t="s">
        <v>37</v>
      </c>
      <c r="V808" t="s">
        <v>29</v>
      </c>
      <c r="W808" t="s">
        <v>30</v>
      </c>
      <c r="X808">
        <v>5</v>
      </c>
      <c r="Y808">
        <v>10</v>
      </c>
      <c r="Z808" t="s">
        <v>31</v>
      </c>
    </row>
    <row r="809" spans="1:26">
      <c r="A809" t="s">
        <v>866</v>
      </c>
      <c r="B809">
        <v>21</v>
      </c>
      <c r="C809" t="str">
        <f t="shared" si="60"/>
        <v>18-35</v>
      </c>
      <c r="D809" t="s">
        <v>45</v>
      </c>
      <c r="E809" s="2">
        <v>44941</v>
      </c>
      <c r="F809" s="2" t="str">
        <f t="shared" ca="1" si="61"/>
        <v>No</v>
      </c>
      <c r="G809" s="2" t="str">
        <f t="shared" si="62"/>
        <v>Jan-2023</v>
      </c>
      <c r="H809" s="2">
        <v>44955</v>
      </c>
      <c r="I809">
        <v>14</v>
      </c>
      <c r="J809" t="s">
        <v>23</v>
      </c>
      <c r="K809">
        <v>5</v>
      </c>
      <c r="L809" t="s">
        <v>35</v>
      </c>
      <c r="M809" s="9">
        <v>22263</v>
      </c>
      <c r="N809" t="s">
        <v>25</v>
      </c>
      <c r="O809" t="s">
        <v>26</v>
      </c>
      <c r="P809" t="s">
        <v>27</v>
      </c>
      <c r="Q809" s="2">
        <v>45231</v>
      </c>
      <c r="R809" s="13">
        <f t="shared" si="63"/>
        <v>419.99999999650754</v>
      </c>
      <c r="S809" s="13">
        <f t="shared" si="64"/>
        <v>270.46632124352334</v>
      </c>
      <c r="T809" s="2">
        <v>45231.291666666664</v>
      </c>
      <c r="U809" t="s">
        <v>37</v>
      </c>
      <c r="V809" t="s">
        <v>38</v>
      </c>
      <c r="W809" t="s">
        <v>43</v>
      </c>
      <c r="X809">
        <v>11</v>
      </c>
      <c r="Y809">
        <v>12</v>
      </c>
      <c r="Z809" t="s">
        <v>31</v>
      </c>
    </row>
    <row r="810" spans="1:26">
      <c r="A810" t="s">
        <v>867</v>
      </c>
      <c r="B810">
        <v>70</v>
      </c>
      <c r="C810" t="str">
        <f t="shared" si="60"/>
        <v>66+</v>
      </c>
      <c r="D810" t="s">
        <v>52</v>
      </c>
      <c r="E810" s="2">
        <v>45344</v>
      </c>
      <c r="F810" s="2" t="str">
        <f t="shared" ca="1" si="61"/>
        <v>No</v>
      </c>
      <c r="G810" s="2" t="str">
        <f t="shared" si="62"/>
        <v>Feb-2024</v>
      </c>
      <c r="H810" s="2">
        <v>45507</v>
      </c>
      <c r="I810">
        <v>15</v>
      </c>
      <c r="J810" t="s">
        <v>34</v>
      </c>
      <c r="K810">
        <v>3</v>
      </c>
      <c r="L810" t="s">
        <v>71</v>
      </c>
      <c r="M810" s="9">
        <v>31148</v>
      </c>
      <c r="N810" t="s">
        <v>53</v>
      </c>
      <c r="O810" t="s">
        <v>26</v>
      </c>
      <c r="P810" t="s">
        <v>41</v>
      </c>
      <c r="Q810" s="2">
        <v>45339</v>
      </c>
      <c r="R810" s="13">
        <f t="shared" si="63"/>
        <v>2219.9999999965075</v>
      </c>
      <c r="S810" s="13">
        <f t="shared" si="64"/>
        <v>269.68750000001819</v>
      </c>
      <c r="T810" s="2">
        <v>45340.541666666664</v>
      </c>
      <c r="U810" t="s">
        <v>37</v>
      </c>
      <c r="V810" t="s">
        <v>29</v>
      </c>
      <c r="W810" t="s">
        <v>47</v>
      </c>
      <c r="X810">
        <v>9</v>
      </c>
      <c r="Y810">
        <v>10</v>
      </c>
      <c r="Z810" t="s">
        <v>31</v>
      </c>
    </row>
    <row r="811" spans="1:26">
      <c r="A811" t="s">
        <v>868</v>
      </c>
      <c r="B811">
        <v>1</v>
      </c>
      <c r="C811" t="str">
        <f t="shared" si="60"/>
        <v>0-17</v>
      </c>
      <c r="D811" t="s">
        <v>45</v>
      </c>
      <c r="E811" s="2">
        <v>45081</v>
      </c>
      <c r="F811" s="2" t="str">
        <f t="shared" ca="1" si="61"/>
        <v>No</v>
      </c>
      <c r="G811" s="2" t="str">
        <f t="shared" si="62"/>
        <v>Jun-2023</v>
      </c>
      <c r="H811" s="2">
        <v>45030</v>
      </c>
      <c r="I811">
        <v>8</v>
      </c>
      <c r="J811" t="s">
        <v>23</v>
      </c>
      <c r="K811">
        <v>2</v>
      </c>
      <c r="L811" t="s">
        <v>24</v>
      </c>
      <c r="M811" s="9">
        <v>36533</v>
      </c>
      <c r="N811" t="s">
        <v>67</v>
      </c>
      <c r="O811" t="s">
        <v>26</v>
      </c>
      <c r="P811" t="s">
        <v>41</v>
      </c>
      <c r="Q811" s="2">
        <v>44930</v>
      </c>
      <c r="R811" s="13">
        <f t="shared" si="63"/>
        <v>45840.000000003492</v>
      </c>
      <c r="S811" s="13">
        <f t="shared" si="64"/>
        <v>259.47643979061246</v>
      </c>
      <c r="T811" s="2">
        <v>44961.833333333336</v>
      </c>
      <c r="U811" t="s">
        <v>55</v>
      </c>
      <c r="V811" t="s">
        <v>38</v>
      </c>
      <c r="W811" t="s">
        <v>47</v>
      </c>
      <c r="X811">
        <v>5</v>
      </c>
      <c r="Y811">
        <v>10</v>
      </c>
      <c r="Z811" t="s">
        <v>48</v>
      </c>
    </row>
    <row r="812" spans="1:26">
      <c r="A812" t="s">
        <v>869</v>
      </c>
      <c r="B812">
        <v>5</v>
      </c>
      <c r="C812" t="str">
        <f t="shared" si="60"/>
        <v>0-17</v>
      </c>
      <c r="D812" t="s">
        <v>33</v>
      </c>
      <c r="E812" s="2">
        <v>45157</v>
      </c>
      <c r="F812" s="2" t="str">
        <f t="shared" ca="1" si="61"/>
        <v>No</v>
      </c>
      <c r="G812" s="2" t="str">
        <f t="shared" si="62"/>
        <v>Aug-2023</v>
      </c>
      <c r="H812" s="2">
        <v>45167</v>
      </c>
      <c r="I812">
        <v>10</v>
      </c>
      <c r="J812" t="s">
        <v>57</v>
      </c>
      <c r="K812">
        <v>1</v>
      </c>
      <c r="L812" t="s">
        <v>66</v>
      </c>
      <c r="M812" s="9">
        <v>47608</v>
      </c>
      <c r="N812" t="s">
        <v>36</v>
      </c>
      <c r="O812" t="s">
        <v>26</v>
      </c>
      <c r="P812" t="s">
        <v>27</v>
      </c>
      <c r="Q812" s="2">
        <v>45153</v>
      </c>
      <c r="R812" s="13">
        <f t="shared" si="63"/>
        <v>2820.0000000034925</v>
      </c>
      <c r="S812" s="13">
        <f t="shared" si="64"/>
        <v>19.578947368439433</v>
      </c>
      <c r="T812" s="2">
        <v>45154.958333333336</v>
      </c>
      <c r="U812" t="s">
        <v>37</v>
      </c>
      <c r="V812" t="s">
        <v>29</v>
      </c>
      <c r="W812" t="s">
        <v>30</v>
      </c>
      <c r="X812">
        <v>5</v>
      </c>
      <c r="Y812">
        <v>8</v>
      </c>
      <c r="Z812" t="s">
        <v>48</v>
      </c>
    </row>
    <row r="813" spans="1:26">
      <c r="A813" t="s">
        <v>870</v>
      </c>
      <c r="B813">
        <v>12</v>
      </c>
      <c r="C813" t="str">
        <f t="shared" si="60"/>
        <v>0-17</v>
      </c>
      <c r="D813" t="s">
        <v>41</v>
      </c>
      <c r="E813" s="2">
        <v>45043</v>
      </c>
      <c r="F813" s="2" t="str">
        <f t="shared" ca="1" si="61"/>
        <v>No</v>
      </c>
      <c r="G813" s="2" t="str">
        <f t="shared" si="62"/>
        <v>Apr-2023</v>
      </c>
      <c r="H813" s="2">
        <v>45082</v>
      </c>
      <c r="I813">
        <v>9</v>
      </c>
      <c r="J813" t="s">
        <v>50</v>
      </c>
      <c r="K813">
        <v>1</v>
      </c>
      <c r="L813" t="s">
        <v>35</v>
      </c>
      <c r="M813" s="9">
        <v>17931</v>
      </c>
      <c r="N813" t="s">
        <v>53</v>
      </c>
      <c r="O813" t="s">
        <v>54</v>
      </c>
      <c r="P813" t="s">
        <v>27</v>
      </c>
      <c r="Q813" s="2">
        <v>45042</v>
      </c>
      <c r="R813" s="13">
        <f t="shared" si="63"/>
        <v>480.00000000349246</v>
      </c>
      <c r="S813" s="13">
        <f t="shared" si="64"/>
        <v>4.7619047619047619</v>
      </c>
      <c r="T813" s="2">
        <v>45042.333333333336</v>
      </c>
      <c r="U813" t="s">
        <v>37</v>
      </c>
      <c r="V813" t="s">
        <v>29</v>
      </c>
      <c r="W813" t="s">
        <v>30</v>
      </c>
      <c r="X813">
        <v>8</v>
      </c>
      <c r="Y813">
        <v>8</v>
      </c>
      <c r="Z813" t="s">
        <v>48</v>
      </c>
    </row>
    <row r="814" spans="1:26">
      <c r="A814" t="s">
        <v>871</v>
      </c>
      <c r="B814">
        <v>46</v>
      </c>
      <c r="C814" t="str">
        <f t="shared" si="60"/>
        <v>36-50</v>
      </c>
      <c r="D814" t="s">
        <v>62</v>
      </c>
      <c r="E814" s="2">
        <v>45399</v>
      </c>
      <c r="F814" s="2" t="str">
        <f t="shared" ca="1" si="61"/>
        <v>No</v>
      </c>
      <c r="G814" s="2" t="str">
        <f t="shared" si="62"/>
        <v>Apr-2024</v>
      </c>
      <c r="H814" s="2">
        <v>45400</v>
      </c>
      <c r="I814">
        <v>1</v>
      </c>
      <c r="J814" t="s">
        <v>23</v>
      </c>
      <c r="K814">
        <v>5</v>
      </c>
      <c r="L814" t="s">
        <v>66</v>
      </c>
      <c r="M814" s="9">
        <v>6359</v>
      </c>
      <c r="N814" t="s">
        <v>53</v>
      </c>
      <c r="O814" t="s">
        <v>54</v>
      </c>
      <c r="P814" t="s">
        <v>27</v>
      </c>
      <c r="Q814" s="2">
        <v>45396</v>
      </c>
      <c r="R814" s="13">
        <f t="shared" si="63"/>
        <v>900</v>
      </c>
      <c r="S814" s="13">
        <f t="shared" si="64"/>
        <v>2.2340425531729124</v>
      </c>
      <c r="T814" s="2">
        <v>45396.625</v>
      </c>
      <c r="U814" t="s">
        <v>55</v>
      </c>
      <c r="V814" t="s">
        <v>29</v>
      </c>
      <c r="W814" t="s">
        <v>43</v>
      </c>
      <c r="X814">
        <v>5</v>
      </c>
      <c r="Y814">
        <v>12</v>
      </c>
      <c r="Z814" t="s">
        <v>48</v>
      </c>
    </row>
    <row r="815" spans="1:26">
      <c r="A815" t="s">
        <v>872</v>
      </c>
      <c r="B815">
        <v>34</v>
      </c>
      <c r="C815" t="str">
        <f t="shared" si="60"/>
        <v>18-35</v>
      </c>
      <c r="D815" t="s">
        <v>33</v>
      </c>
      <c r="E815" s="2">
        <v>44931</v>
      </c>
      <c r="F815" s="2" t="str">
        <f t="shared" ca="1" si="61"/>
        <v>No</v>
      </c>
      <c r="G815" s="2" t="str">
        <f t="shared" si="62"/>
        <v>Jan-2023</v>
      </c>
      <c r="H815" s="2">
        <v>45265</v>
      </c>
      <c r="I815">
        <v>11</v>
      </c>
      <c r="J815" t="s">
        <v>57</v>
      </c>
      <c r="K815">
        <v>3</v>
      </c>
      <c r="L815" t="s">
        <v>35</v>
      </c>
      <c r="M815" s="9">
        <v>29532</v>
      </c>
      <c r="N815" t="s">
        <v>67</v>
      </c>
      <c r="O815" t="s">
        <v>54</v>
      </c>
      <c r="P815" t="s">
        <v>41</v>
      </c>
      <c r="Q815" s="2">
        <v>45046</v>
      </c>
      <c r="R815" s="13">
        <f t="shared" si="63"/>
        <v>-120960</v>
      </c>
      <c r="S815" s="13">
        <f t="shared" si="64"/>
        <v>-2.5668449198047725</v>
      </c>
      <c r="T815" s="2">
        <v>44962</v>
      </c>
      <c r="U815" t="s">
        <v>64</v>
      </c>
      <c r="V815" t="s">
        <v>29</v>
      </c>
      <c r="W815" t="s">
        <v>47</v>
      </c>
      <c r="X815">
        <v>7</v>
      </c>
      <c r="Y815">
        <v>8</v>
      </c>
      <c r="Z815" t="s">
        <v>31</v>
      </c>
    </row>
    <row r="816" spans="1:26">
      <c r="A816" t="s">
        <v>873</v>
      </c>
      <c r="B816">
        <v>49</v>
      </c>
      <c r="C816" t="str">
        <f t="shared" si="60"/>
        <v>36-50</v>
      </c>
      <c r="D816" t="s">
        <v>22</v>
      </c>
      <c r="E816" s="2">
        <v>45113</v>
      </c>
      <c r="F816" s="2" t="str">
        <f t="shared" ca="1" si="61"/>
        <v>No</v>
      </c>
      <c r="G816" s="2" t="str">
        <f t="shared" si="62"/>
        <v>Jul-2023</v>
      </c>
      <c r="H816" s="2">
        <v>45093</v>
      </c>
      <c r="I816">
        <v>9</v>
      </c>
      <c r="J816" t="s">
        <v>63</v>
      </c>
      <c r="K816">
        <v>2</v>
      </c>
      <c r="L816" t="s">
        <v>71</v>
      </c>
      <c r="M816" s="9">
        <v>25344</v>
      </c>
      <c r="N816" t="s">
        <v>36</v>
      </c>
      <c r="O816" t="s">
        <v>54</v>
      </c>
      <c r="P816" t="s">
        <v>27</v>
      </c>
      <c r="Q816" s="2">
        <v>45052</v>
      </c>
      <c r="R816" s="13">
        <f t="shared" si="63"/>
        <v>45180</v>
      </c>
      <c r="S816" s="13">
        <f t="shared" si="64"/>
        <v>647.74193548385222</v>
      </c>
      <c r="T816" s="2">
        <v>45083.375</v>
      </c>
      <c r="U816" t="s">
        <v>28</v>
      </c>
      <c r="V816" t="s">
        <v>29</v>
      </c>
      <c r="W816" t="s">
        <v>30</v>
      </c>
      <c r="X816">
        <v>7</v>
      </c>
      <c r="Y816">
        <v>12</v>
      </c>
      <c r="Z816" t="s">
        <v>48</v>
      </c>
    </row>
    <row r="817" spans="1:26">
      <c r="A817" t="s">
        <v>874</v>
      </c>
      <c r="B817">
        <v>78</v>
      </c>
      <c r="C817" t="str">
        <f t="shared" si="60"/>
        <v>66+</v>
      </c>
      <c r="D817" t="s">
        <v>45</v>
      </c>
      <c r="E817" s="2">
        <v>45437</v>
      </c>
      <c r="F817" s="2" t="str">
        <f t="shared" ca="1" si="61"/>
        <v>No</v>
      </c>
      <c r="G817" s="2" t="str">
        <f t="shared" si="62"/>
        <v>May-2024</v>
      </c>
      <c r="H817" s="2">
        <v>45388</v>
      </c>
      <c r="I817">
        <v>10</v>
      </c>
      <c r="J817" t="s">
        <v>57</v>
      </c>
      <c r="K817">
        <v>2</v>
      </c>
      <c r="L817" t="s">
        <v>71</v>
      </c>
      <c r="M817" s="9">
        <v>9242</v>
      </c>
      <c r="N817" t="s">
        <v>60</v>
      </c>
      <c r="O817" t="s">
        <v>54</v>
      </c>
      <c r="P817" t="s">
        <v>27</v>
      </c>
      <c r="Q817" s="2">
        <v>45435</v>
      </c>
      <c r="R817" s="13">
        <f t="shared" si="63"/>
        <v>59.99999999650754</v>
      </c>
      <c r="S817" s="13">
        <f t="shared" si="64"/>
        <v>407.02702702700816</v>
      </c>
      <c r="T817" s="2">
        <v>45435.041666666664</v>
      </c>
      <c r="U817" t="s">
        <v>55</v>
      </c>
      <c r="V817" t="s">
        <v>29</v>
      </c>
      <c r="W817" t="s">
        <v>43</v>
      </c>
      <c r="X817">
        <v>7</v>
      </c>
      <c r="Y817">
        <v>12</v>
      </c>
      <c r="Z817" t="s">
        <v>48</v>
      </c>
    </row>
    <row r="818" spans="1:26">
      <c r="A818" t="s">
        <v>875</v>
      </c>
      <c r="B818">
        <v>45</v>
      </c>
      <c r="C818" t="str">
        <f t="shared" si="60"/>
        <v>36-50</v>
      </c>
      <c r="D818" t="s">
        <v>45</v>
      </c>
      <c r="E818" s="2">
        <v>45225</v>
      </c>
      <c r="F818" s="2" t="str">
        <f t="shared" ca="1" si="61"/>
        <v>No</v>
      </c>
      <c r="G818" s="2" t="str">
        <f t="shared" si="62"/>
        <v>Oct-2023</v>
      </c>
      <c r="H818" s="2">
        <v>45229</v>
      </c>
      <c r="I818">
        <v>4</v>
      </c>
      <c r="J818" t="s">
        <v>40</v>
      </c>
      <c r="K818">
        <v>1</v>
      </c>
      <c r="L818" t="s">
        <v>46</v>
      </c>
      <c r="M818" s="9">
        <v>25601</v>
      </c>
      <c r="N818" t="s">
        <v>36</v>
      </c>
      <c r="O818" t="s">
        <v>54</v>
      </c>
      <c r="P818" t="s">
        <v>27</v>
      </c>
      <c r="Q818" s="2">
        <v>45225</v>
      </c>
      <c r="R818" s="13">
        <f t="shared" si="63"/>
        <v>180</v>
      </c>
      <c r="S818" s="13">
        <f t="shared" si="64"/>
        <v>408.91304347826087</v>
      </c>
      <c r="T818" s="2">
        <v>45225.125</v>
      </c>
      <c r="U818" t="s">
        <v>55</v>
      </c>
      <c r="V818" t="s">
        <v>29</v>
      </c>
      <c r="W818" t="s">
        <v>30</v>
      </c>
      <c r="X818">
        <v>4</v>
      </c>
      <c r="Y818">
        <v>8</v>
      </c>
      <c r="Z818" t="s">
        <v>48</v>
      </c>
    </row>
    <row r="819" spans="1:26">
      <c r="A819" t="s">
        <v>876</v>
      </c>
      <c r="B819">
        <v>27</v>
      </c>
      <c r="C819" t="str">
        <f t="shared" si="60"/>
        <v>18-35</v>
      </c>
      <c r="D819" t="s">
        <v>41</v>
      </c>
      <c r="E819" s="2">
        <v>45418</v>
      </c>
      <c r="F819" s="2" t="str">
        <f t="shared" ca="1" si="61"/>
        <v>No</v>
      </c>
      <c r="G819" s="2" t="str">
        <f t="shared" si="62"/>
        <v>May-2024</v>
      </c>
      <c r="H819" s="2">
        <v>45460</v>
      </c>
      <c r="I819">
        <v>12</v>
      </c>
      <c r="J819" t="s">
        <v>23</v>
      </c>
      <c r="K819">
        <v>5</v>
      </c>
      <c r="L819" t="s">
        <v>66</v>
      </c>
      <c r="M819" s="9">
        <v>24116</v>
      </c>
      <c r="N819" t="s">
        <v>25</v>
      </c>
      <c r="O819" t="s">
        <v>54</v>
      </c>
      <c r="P819" t="s">
        <v>41</v>
      </c>
      <c r="Q819" s="2">
        <v>45388</v>
      </c>
      <c r="R819" s="13">
        <f t="shared" si="63"/>
        <v>59.99999999650754</v>
      </c>
      <c r="S819" s="13">
        <f t="shared" si="64"/>
        <v>410.1639344262295</v>
      </c>
      <c r="T819" s="2">
        <v>45388.041666666664</v>
      </c>
      <c r="U819" t="s">
        <v>37</v>
      </c>
      <c r="V819" t="s">
        <v>29</v>
      </c>
      <c r="W819" t="s">
        <v>43</v>
      </c>
      <c r="X819">
        <v>9</v>
      </c>
      <c r="Y819">
        <v>10</v>
      </c>
      <c r="Z819" t="s">
        <v>48</v>
      </c>
    </row>
    <row r="820" spans="1:26">
      <c r="A820" t="s">
        <v>877</v>
      </c>
      <c r="B820">
        <v>73</v>
      </c>
      <c r="C820" t="str">
        <f t="shared" si="60"/>
        <v>66+</v>
      </c>
      <c r="D820" t="s">
        <v>22</v>
      </c>
      <c r="E820" s="2">
        <v>45117</v>
      </c>
      <c r="F820" s="2" t="str">
        <f t="shared" ca="1" si="61"/>
        <v>No</v>
      </c>
      <c r="G820" s="2" t="str">
        <f t="shared" si="62"/>
        <v>Jul-2023</v>
      </c>
      <c r="H820" s="2">
        <v>45209</v>
      </c>
      <c r="I820">
        <v>3</v>
      </c>
      <c r="J820" t="s">
        <v>57</v>
      </c>
      <c r="K820">
        <v>1</v>
      </c>
      <c r="L820" t="s">
        <v>35</v>
      </c>
      <c r="M820" s="9">
        <v>40477</v>
      </c>
      <c r="N820" t="s">
        <v>53</v>
      </c>
      <c r="O820" t="s">
        <v>26</v>
      </c>
      <c r="P820" t="s">
        <v>27</v>
      </c>
      <c r="Q820" s="2">
        <v>45087</v>
      </c>
      <c r="R820" s="13">
        <f t="shared" si="63"/>
        <v>959.99999999650754</v>
      </c>
      <c r="S820" s="13">
        <f t="shared" si="64"/>
        <v>412.08791208793127</v>
      </c>
      <c r="T820" s="2">
        <v>45087.666666666664</v>
      </c>
      <c r="U820" t="s">
        <v>37</v>
      </c>
      <c r="V820" t="s">
        <v>29</v>
      </c>
      <c r="W820" t="s">
        <v>47</v>
      </c>
      <c r="X820">
        <v>9</v>
      </c>
      <c r="Y820">
        <v>10</v>
      </c>
      <c r="Z820" t="s">
        <v>68</v>
      </c>
    </row>
    <row r="821" spans="1:26">
      <c r="A821" t="s">
        <v>878</v>
      </c>
      <c r="B821">
        <v>26</v>
      </c>
      <c r="C821" t="str">
        <f t="shared" si="60"/>
        <v>18-35</v>
      </c>
      <c r="D821" t="s">
        <v>41</v>
      </c>
      <c r="E821" s="2">
        <v>45294</v>
      </c>
      <c r="F821" s="2" t="str">
        <f t="shared" ca="1" si="61"/>
        <v>No</v>
      </c>
      <c r="G821" s="2" t="str">
        <f t="shared" si="62"/>
        <v>Jan-2024</v>
      </c>
      <c r="H821" s="2">
        <v>45446</v>
      </c>
      <c r="I821">
        <v>5</v>
      </c>
      <c r="J821" t="s">
        <v>34</v>
      </c>
      <c r="K821">
        <v>1</v>
      </c>
      <c r="L821" t="s">
        <v>71</v>
      </c>
      <c r="M821" s="9">
        <v>35782</v>
      </c>
      <c r="N821" t="s">
        <v>25</v>
      </c>
      <c r="O821" t="s">
        <v>26</v>
      </c>
      <c r="P821" t="s">
        <v>27</v>
      </c>
      <c r="Q821" s="2">
        <v>45347</v>
      </c>
      <c r="R821" s="13">
        <f t="shared" si="63"/>
        <v>180</v>
      </c>
      <c r="S821" s="13">
        <f t="shared" si="64"/>
        <v>409.06077348070158</v>
      </c>
      <c r="T821" s="2">
        <v>45347.125</v>
      </c>
      <c r="U821" t="s">
        <v>28</v>
      </c>
      <c r="V821" t="s">
        <v>29</v>
      </c>
      <c r="W821" t="s">
        <v>43</v>
      </c>
      <c r="X821">
        <v>6</v>
      </c>
      <c r="Y821">
        <v>10</v>
      </c>
      <c r="Z821" t="s">
        <v>31</v>
      </c>
    </row>
    <row r="822" spans="1:26">
      <c r="A822" t="s">
        <v>879</v>
      </c>
      <c r="B822">
        <v>47</v>
      </c>
      <c r="C822" t="str">
        <f t="shared" si="60"/>
        <v>36-50</v>
      </c>
      <c r="D822" t="s">
        <v>22</v>
      </c>
      <c r="E822" s="2">
        <v>45540</v>
      </c>
      <c r="F822" s="2" t="str">
        <f t="shared" ca="1" si="61"/>
        <v>No</v>
      </c>
      <c r="G822" s="2" t="str">
        <f t="shared" si="62"/>
        <v>Sep-2024</v>
      </c>
      <c r="H822" s="2">
        <v>45428</v>
      </c>
      <c r="I822">
        <v>7</v>
      </c>
      <c r="J822" t="s">
        <v>63</v>
      </c>
      <c r="K822">
        <v>5</v>
      </c>
      <c r="L822" t="s">
        <v>24</v>
      </c>
      <c r="M822" s="9">
        <v>23880</v>
      </c>
      <c r="N822" t="s">
        <v>60</v>
      </c>
      <c r="O822" t="s">
        <v>26</v>
      </c>
      <c r="P822" t="s">
        <v>27</v>
      </c>
      <c r="Q822" s="2">
        <v>45540</v>
      </c>
      <c r="R822" s="13">
        <f t="shared" si="63"/>
        <v>43619.999999996508</v>
      </c>
      <c r="S822" s="13">
        <f t="shared" si="64"/>
        <v>410.33333333337214</v>
      </c>
      <c r="T822" s="2">
        <v>45570.291666666664</v>
      </c>
      <c r="U822" t="s">
        <v>37</v>
      </c>
      <c r="V822" t="s">
        <v>29</v>
      </c>
      <c r="W822" t="s">
        <v>30</v>
      </c>
      <c r="X822">
        <v>8</v>
      </c>
      <c r="Y822">
        <v>10</v>
      </c>
      <c r="Z822" t="s">
        <v>31</v>
      </c>
    </row>
    <row r="823" spans="1:26">
      <c r="A823" t="s">
        <v>880</v>
      </c>
      <c r="B823">
        <v>86</v>
      </c>
      <c r="C823" t="str">
        <f t="shared" si="60"/>
        <v>66+</v>
      </c>
      <c r="D823" t="s">
        <v>62</v>
      </c>
      <c r="E823" s="2">
        <v>45410</v>
      </c>
      <c r="F823" s="2" t="str">
        <f t="shared" ca="1" si="61"/>
        <v>No</v>
      </c>
      <c r="G823" s="2" t="str">
        <f t="shared" si="62"/>
        <v>Apr-2024</v>
      </c>
      <c r="H823" s="2">
        <v>45411</v>
      </c>
      <c r="I823">
        <v>1</v>
      </c>
      <c r="J823" t="s">
        <v>23</v>
      </c>
      <c r="K823">
        <v>3</v>
      </c>
      <c r="L823" t="s">
        <v>71</v>
      </c>
      <c r="M823" s="9">
        <v>8499</v>
      </c>
      <c r="N823" t="s">
        <v>25</v>
      </c>
      <c r="O823" t="s">
        <v>26</v>
      </c>
      <c r="P823" t="s">
        <v>27</v>
      </c>
      <c r="Q823" s="2">
        <v>45405</v>
      </c>
      <c r="R823" s="13">
        <f t="shared" si="63"/>
        <v>1440</v>
      </c>
      <c r="S823" s="13">
        <f t="shared" si="64"/>
        <v>168.93854748609206</v>
      </c>
      <c r="T823" s="2">
        <v>45406</v>
      </c>
      <c r="U823" t="s">
        <v>42</v>
      </c>
      <c r="V823" t="s">
        <v>29</v>
      </c>
      <c r="W823" t="s">
        <v>30</v>
      </c>
      <c r="X823">
        <v>7</v>
      </c>
      <c r="Y823">
        <v>12</v>
      </c>
      <c r="Z823" t="s">
        <v>48</v>
      </c>
    </row>
    <row r="824" spans="1:26">
      <c r="A824" t="s">
        <v>881</v>
      </c>
      <c r="B824">
        <v>56</v>
      </c>
      <c r="C824" t="str">
        <f t="shared" si="60"/>
        <v>51-65</v>
      </c>
      <c r="D824" t="s">
        <v>45</v>
      </c>
      <c r="E824" s="2">
        <v>45116</v>
      </c>
      <c r="F824" s="2" t="str">
        <f t="shared" ca="1" si="61"/>
        <v>No</v>
      </c>
      <c r="G824" s="2" t="str">
        <f t="shared" si="62"/>
        <v>Jul-2023</v>
      </c>
      <c r="H824" s="2">
        <v>45186</v>
      </c>
      <c r="I824">
        <v>10</v>
      </c>
      <c r="J824" t="s">
        <v>40</v>
      </c>
      <c r="K824">
        <v>2</v>
      </c>
      <c r="L824" t="s">
        <v>24</v>
      </c>
      <c r="M824" s="9">
        <v>36587</v>
      </c>
      <c r="N824" t="s">
        <v>36</v>
      </c>
      <c r="O824" t="s">
        <v>54</v>
      </c>
      <c r="P824" t="s">
        <v>27</v>
      </c>
      <c r="Q824" s="2">
        <v>45025</v>
      </c>
      <c r="R824" s="13">
        <f t="shared" si="63"/>
        <v>43259.999999996508</v>
      </c>
      <c r="S824" s="13">
        <f t="shared" si="64"/>
        <v>161.79775280904764</v>
      </c>
      <c r="T824" s="2">
        <v>45055.041666666664</v>
      </c>
      <c r="U824" t="s">
        <v>37</v>
      </c>
      <c r="V824" t="s">
        <v>29</v>
      </c>
      <c r="W824" t="s">
        <v>47</v>
      </c>
      <c r="X824">
        <v>7</v>
      </c>
      <c r="Y824">
        <v>10</v>
      </c>
      <c r="Z824" t="s">
        <v>68</v>
      </c>
    </row>
    <row r="825" spans="1:26">
      <c r="A825" t="s">
        <v>882</v>
      </c>
      <c r="B825">
        <v>63</v>
      </c>
      <c r="C825" t="str">
        <f t="shared" si="60"/>
        <v>51-65</v>
      </c>
      <c r="D825" t="s">
        <v>45</v>
      </c>
      <c r="E825" s="2">
        <v>45630</v>
      </c>
      <c r="F825" s="2" t="str">
        <f t="shared" ca="1" si="61"/>
        <v>No</v>
      </c>
      <c r="G825" s="2" t="str">
        <f t="shared" si="62"/>
        <v>Dec-2024</v>
      </c>
      <c r="H825" s="2">
        <v>45400</v>
      </c>
      <c r="I825">
        <v>6</v>
      </c>
      <c r="J825" t="s">
        <v>57</v>
      </c>
      <c r="K825">
        <v>3</v>
      </c>
      <c r="L825" t="s">
        <v>35</v>
      </c>
      <c r="M825" s="9">
        <v>49458</v>
      </c>
      <c r="N825" t="s">
        <v>25</v>
      </c>
      <c r="O825" t="s">
        <v>26</v>
      </c>
      <c r="P825" t="s">
        <v>27</v>
      </c>
      <c r="Q825" s="2">
        <v>45600</v>
      </c>
      <c r="R825" s="13">
        <f t="shared" si="63"/>
        <v>599.99999999650754</v>
      </c>
      <c r="S825" s="13">
        <f t="shared" si="64"/>
        <v>-81.69491525415836</v>
      </c>
      <c r="T825" s="2">
        <v>45600.416666666664</v>
      </c>
      <c r="U825" t="s">
        <v>37</v>
      </c>
      <c r="V825" t="s">
        <v>29</v>
      </c>
      <c r="W825" t="s">
        <v>47</v>
      </c>
      <c r="X825">
        <v>5</v>
      </c>
      <c r="Y825">
        <v>12</v>
      </c>
      <c r="Z825" t="s">
        <v>31</v>
      </c>
    </row>
    <row r="826" spans="1:26">
      <c r="A826" t="s">
        <v>883</v>
      </c>
      <c r="B826">
        <v>48</v>
      </c>
      <c r="C826" t="str">
        <f t="shared" si="60"/>
        <v>36-50</v>
      </c>
      <c r="D826" t="s">
        <v>62</v>
      </c>
      <c r="E826" s="2">
        <v>45075</v>
      </c>
      <c r="F826" s="2" t="str">
        <f t="shared" ca="1" si="61"/>
        <v>No</v>
      </c>
      <c r="G826" s="2" t="str">
        <f t="shared" si="62"/>
        <v>May-2023</v>
      </c>
      <c r="H826" s="2">
        <v>44963</v>
      </c>
      <c r="I826">
        <v>4</v>
      </c>
      <c r="J826" t="s">
        <v>63</v>
      </c>
      <c r="K826">
        <v>4</v>
      </c>
      <c r="L826" t="s">
        <v>71</v>
      </c>
      <c r="M826" s="9">
        <v>31020</v>
      </c>
      <c r="N826" t="s">
        <v>60</v>
      </c>
      <c r="O826" t="s">
        <v>54</v>
      </c>
      <c r="P826" t="s">
        <v>27</v>
      </c>
      <c r="Q826" s="2">
        <v>45070</v>
      </c>
      <c r="R826" s="13">
        <f t="shared" si="63"/>
        <v>720</v>
      </c>
      <c r="S826" s="13">
        <f t="shared" si="64"/>
        <v>-85.568181818082607</v>
      </c>
      <c r="T826" s="2">
        <v>45070.5</v>
      </c>
      <c r="U826" t="s">
        <v>42</v>
      </c>
      <c r="V826" t="s">
        <v>29</v>
      </c>
      <c r="W826" t="s">
        <v>30</v>
      </c>
      <c r="X826">
        <v>7</v>
      </c>
      <c r="Y826">
        <v>8</v>
      </c>
      <c r="Z826" t="s">
        <v>31</v>
      </c>
    </row>
    <row r="827" spans="1:26">
      <c r="A827" t="s">
        <v>884</v>
      </c>
      <c r="B827">
        <v>61</v>
      </c>
      <c r="C827" t="str">
        <f t="shared" si="60"/>
        <v>51-65</v>
      </c>
      <c r="D827" t="s">
        <v>52</v>
      </c>
      <c r="E827" s="2">
        <v>45319</v>
      </c>
      <c r="F827" s="2" t="str">
        <f t="shared" ca="1" si="61"/>
        <v>No</v>
      </c>
      <c r="G827" s="2" t="str">
        <f t="shared" si="62"/>
        <v>Jan-2024</v>
      </c>
      <c r="H827" s="2">
        <v>45475</v>
      </c>
      <c r="I827">
        <v>10</v>
      </c>
      <c r="J827" t="s">
        <v>23</v>
      </c>
      <c r="K827">
        <v>4</v>
      </c>
      <c r="L827" t="s">
        <v>71</v>
      </c>
      <c r="M827" s="9">
        <v>13080</v>
      </c>
      <c r="N827" t="s">
        <v>60</v>
      </c>
      <c r="O827" t="s">
        <v>26</v>
      </c>
      <c r="P827" t="s">
        <v>41</v>
      </c>
      <c r="Q827" s="2">
        <v>45315</v>
      </c>
      <c r="R827" s="13">
        <f t="shared" si="63"/>
        <v>180</v>
      </c>
      <c r="S827" s="13">
        <f t="shared" si="64"/>
        <v>-90.171428571328789</v>
      </c>
      <c r="T827" s="2">
        <v>45315.125</v>
      </c>
      <c r="U827" t="s">
        <v>28</v>
      </c>
      <c r="V827" t="s">
        <v>29</v>
      </c>
      <c r="W827" t="s">
        <v>30</v>
      </c>
      <c r="X827">
        <v>5</v>
      </c>
      <c r="Y827">
        <v>8</v>
      </c>
      <c r="Z827" t="s">
        <v>48</v>
      </c>
    </row>
    <row r="828" spans="1:26">
      <c r="A828" t="s">
        <v>885</v>
      </c>
      <c r="B828">
        <v>81</v>
      </c>
      <c r="C828" t="str">
        <f t="shared" si="60"/>
        <v>66+</v>
      </c>
      <c r="D828" t="s">
        <v>41</v>
      </c>
      <c r="E828" s="2">
        <v>45122</v>
      </c>
      <c r="F828" s="2" t="str">
        <f t="shared" ca="1" si="61"/>
        <v>No</v>
      </c>
      <c r="G828" s="2" t="str">
        <f t="shared" si="62"/>
        <v>Jul-2023</v>
      </c>
      <c r="H828" s="2">
        <v>45129</v>
      </c>
      <c r="I828">
        <v>7</v>
      </c>
      <c r="J828" t="s">
        <v>63</v>
      </c>
      <c r="K828">
        <v>4</v>
      </c>
      <c r="L828" t="s">
        <v>35</v>
      </c>
      <c r="M828" s="9">
        <v>28207</v>
      </c>
      <c r="N828" t="s">
        <v>60</v>
      </c>
      <c r="O828" t="s">
        <v>26</v>
      </c>
      <c r="P828" t="s">
        <v>27</v>
      </c>
      <c r="Q828" s="2">
        <v>45206</v>
      </c>
      <c r="R828" s="13">
        <f t="shared" si="63"/>
        <v>45360</v>
      </c>
      <c r="S828" s="13">
        <f t="shared" si="64"/>
        <v>-91.72413793093412</v>
      </c>
      <c r="T828" s="2">
        <v>45237.5</v>
      </c>
      <c r="U828" t="s">
        <v>42</v>
      </c>
      <c r="V828" t="s">
        <v>29</v>
      </c>
      <c r="W828" t="s">
        <v>30</v>
      </c>
      <c r="X828">
        <v>5</v>
      </c>
      <c r="Y828">
        <v>12</v>
      </c>
      <c r="Z828" t="s">
        <v>48</v>
      </c>
    </row>
    <row r="829" spans="1:26">
      <c r="A829" t="s">
        <v>886</v>
      </c>
      <c r="B829">
        <v>26</v>
      </c>
      <c r="C829" t="str">
        <f t="shared" si="60"/>
        <v>18-35</v>
      </c>
      <c r="D829" t="s">
        <v>62</v>
      </c>
      <c r="E829" s="2">
        <v>45388</v>
      </c>
      <c r="F829" s="2" t="str">
        <f t="shared" ca="1" si="61"/>
        <v>No</v>
      </c>
      <c r="G829" s="2" t="str">
        <f t="shared" si="62"/>
        <v>Apr-2024</v>
      </c>
      <c r="H829" s="2">
        <v>45479</v>
      </c>
      <c r="I829">
        <v>3</v>
      </c>
      <c r="J829" t="s">
        <v>40</v>
      </c>
      <c r="K829">
        <v>5</v>
      </c>
      <c r="L829" t="s">
        <v>71</v>
      </c>
      <c r="M829" s="9">
        <v>38957</v>
      </c>
      <c r="N829" t="s">
        <v>36</v>
      </c>
      <c r="O829" t="s">
        <v>26</v>
      </c>
      <c r="P829" t="s">
        <v>41</v>
      </c>
      <c r="Q829" s="2">
        <v>45357</v>
      </c>
      <c r="R829" s="13">
        <f t="shared" si="63"/>
        <v>45959.999999996508</v>
      </c>
      <c r="S829" s="13">
        <f t="shared" si="64"/>
        <v>-354.45086705192216</v>
      </c>
      <c r="T829" s="2">
        <v>45388.916666666664</v>
      </c>
      <c r="U829" t="s">
        <v>55</v>
      </c>
      <c r="V829" t="s">
        <v>29</v>
      </c>
      <c r="W829" t="s">
        <v>47</v>
      </c>
      <c r="X829">
        <v>6</v>
      </c>
      <c r="Y829">
        <v>10</v>
      </c>
      <c r="Z829" t="s">
        <v>31</v>
      </c>
    </row>
    <row r="830" spans="1:26">
      <c r="A830" t="s">
        <v>887</v>
      </c>
      <c r="B830">
        <v>36</v>
      </c>
      <c r="C830" t="str">
        <f t="shared" si="60"/>
        <v>36-50</v>
      </c>
      <c r="D830" t="s">
        <v>41</v>
      </c>
      <c r="E830" s="2">
        <v>45066</v>
      </c>
      <c r="F830" s="2" t="str">
        <f t="shared" ca="1" si="61"/>
        <v>No</v>
      </c>
      <c r="G830" s="2" t="str">
        <f t="shared" si="62"/>
        <v>May-2023</v>
      </c>
      <c r="H830" s="2">
        <v>45077</v>
      </c>
      <c r="I830">
        <v>11</v>
      </c>
      <c r="J830" t="s">
        <v>57</v>
      </c>
      <c r="K830">
        <v>1</v>
      </c>
      <c r="L830" t="s">
        <v>24</v>
      </c>
      <c r="M830" s="9">
        <v>18908</v>
      </c>
      <c r="N830" t="s">
        <v>60</v>
      </c>
      <c r="O830" t="s">
        <v>54</v>
      </c>
      <c r="P830" t="s">
        <v>27</v>
      </c>
      <c r="Q830" s="2">
        <v>45063</v>
      </c>
      <c r="R830" s="13">
        <f t="shared" si="63"/>
        <v>2880</v>
      </c>
      <c r="S830" s="13">
        <f t="shared" si="64"/>
        <v>-623.72093023243633</v>
      </c>
      <c r="T830" s="2">
        <v>45065</v>
      </c>
      <c r="U830" t="s">
        <v>42</v>
      </c>
      <c r="V830" t="s">
        <v>29</v>
      </c>
      <c r="W830" t="s">
        <v>30</v>
      </c>
      <c r="X830">
        <v>4</v>
      </c>
      <c r="Y830">
        <v>12</v>
      </c>
      <c r="Z830" t="s">
        <v>31</v>
      </c>
    </row>
    <row r="831" spans="1:26">
      <c r="A831" t="s">
        <v>888</v>
      </c>
      <c r="B831">
        <v>1</v>
      </c>
      <c r="C831" t="str">
        <f t="shared" si="60"/>
        <v>0-17</v>
      </c>
      <c r="D831" t="s">
        <v>33</v>
      </c>
      <c r="E831" s="2">
        <v>44998</v>
      </c>
      <c r="F831" s="2" t="str">
        <f t="shared" ca="1" si="61"/>
        <v>No</v>
      </c>
      <c r="G831" s="2" t="str">
        <f t="shared" si="62"/>
        <v>Mar-2023</v>
      </c>
      <c r="H831" s="2">
        <v>45009</v>
      </c>
      <c r="I831">
        <v>11</v>
      </c>
      <c r="J831" t="s">
        <v>63</v>
      </c>
      <c r="K831">
        <v>3</v>
      </c>
      <c r="L831" t="s">
        <v>71</v>
      </c>
      <c r="M831" s="9">
        <v>35652</v>
      </c>
      <c r="N831" t="s">
        <v>53</v>
      </c>
      <c r="O831" t="s">
        <v>54</v>
      </c>
      <c r="P831" t="s">
        <v>27</v>
      </c>
      <c r="Q831" s="2">
        <v>45263</v>
      </c>
      <c r="R831" s="13">
        <f t="shared" si="63"/>
        <v>-380520</v>
      </c>
      <c r="S831" s="13">
        <f t="shared" si="64"/>
        <v>-644.21052631566693</v>
      </c>
      <c r="T831" s="2">
        <v>44998.75</v>
      </c>
      <c r="U831" t="s">
        <v>64</v>
      </c>
      <c r="V831" t="s">
        <v>29</v>
      </c>
      <c r="W831" t="s">
        <v>47</v>
      </c>
      <c r="X831">
        <v>5</v>
      </c>
      <c r="Y831">
        <v>10</v>
      </c>
      <c r="Z831" t="s">
        <v>68</v>
      </c>
    </row>
    <row r="832" spans="1:26">
      <c r="A832" t="s">
        <v>889</v>
      </c>
      <c r="B832">
        <v>8</v>
      </c>
      <c r="C832" t="str">
        <f t="shared" si="60"/>
        <v>0-17</v>
      </c>
      <c r="D832" t="s">
        <v>45</v>
      </c>
      <c r="E832" s="2">
        <v>45209</v>
      </c>
      <c r="F832" s="2" t="str">
        <f t="shared" ca="1" si="61"/>
        <v>No</v>
      </c>
      <c r="G832" s="2" t="str">
        <f t="shared" si="62"/>
        <v>Oct-2023</v>
      </c>
      <c r="H832" s="2">
        <v>45270</v>
      </c>
      <c r="I832">
        <v>2</v>
      </c>
      <c r="J832" t="s">
        <v>63</v>
      </c>
      <c r="K832">
        <v>2</v>
      </c>
      <c r="L832" t="s">
        <v>66</v>
      </c>
      <c r="M832" s="9">
        <v>35344</v>
      </c>
      <c r="N832" t="s">
        <v>60</v>
      </c>
      <c r="O832" t="s">
        <v>54</v>
      </c>
      <c r="P832" t="s">
        <v>27</v>
      </c>
      <c r="Q832" s="2">
        <v>45087</v>
      </c>
      <c r="R832" s="13">
        <f t="shared" si="63"/>
        <v>43380</v>
      </c>
      <c r="S832" s="13">
        <f t="shared" si="64"/>
        <v>1590.352941176594</v>
      </c>
      <c r="T832" s="2">
        <v>45117.125</v>
      </c>
      <c r="U832" t="s">
        <v>55</v>
      </c>
      <c r="V832" t="s">
        <v>29</v>
      </c>
      <c r="W832" t="s">
        <v>30</v>
      </c>
      <c r="X832">
        <v>5</v>
      </c>
      <c r="Y832">
        <v>10</v>
      </c>
      <c r="Z832" t="s">
        <v>31</v>
      </c>
    </row>
    <row r="833" spans="1:26">
      <c r="A833" t="s">
        <v>890</v>
      </c>
      <c r="B833">
        <v>52</v>
      </c>
      <c r="C833" t="str">
        <f t="shared" si="60"/>
        <v>51-65</v>
      </c>
      <c r="D833" t="s">
        <v>41</v>
      </c>
      <c r="E833" s="2">
        <v>45351</v>
      </c>
      <c r="F833" s="2" t="str">
        <f t="shared" ca="1" si="61"/>
        <v>No</v>
      </c>
      <c r="G833" s="2" t="str">
        <f t="shared" si="62"/>
        <v>Feb-2024</v>
      </c>
      <c r="H833" s="2">
        <v>45538</v>
      </c>
      <c r="I833">
        <v>9</v>
      </c>
      <c r="J833" t="s">
        <v>50</v>
      </c>
      <c r="K833">
        <v>4</v>
      </c>
      <c r="L833" t="s">
        <v>46</v>
      </c>
      <c r="M833" s="9">
        <v>30034</v>
      </c>
      <c r="N833" t="s">
        <v>25</v>
      </c>
      <c r="O833" t="s">
        <v>54</v>
      </c>
      <c r="P833" t="s">
        <v>27</v>
      </c>
      <c r="Q833" s="2">
        <v>45349</v>
      </c>
      <c r="R833" s="13">
        <f t="shared" si="63"/>
        <v>900</v>
      </c>
      <c r="S833" s="13">
        <f t="shared" si="64"/>
        <v>1343.076923077047</v>
      </c>
      <c r="T833" s="2">
        <v>45349.625</v>
      </c>
      <c r="U833" t="s">
        <v>37</v>
      </c>
      <c r="V833" t="s">
        <v>29</v>
      </c>
      <c r="W833" t="s">
        <v>43</v>
      </c>
      <c r="X833">
        <v>9</v>
      </c>
      <c r="Y833">
        <v>12</v>
      </c>
      <c r="Z833" t="s">
        <v>31</v>
      </c>
    </row>
    <row r="834" spans="1:26">
      <c r="A834" t="s">
        <v>891</v>
      </c>
      <c r="B834">
        <v>79</v>
      </c>
      <c r="C834" t="str">
        <f t="shared" si="60"/>
        <v>66+</v>
      </c>
      <c r="D834" t="s">
        <v>22</v>
      </c>
      <c r="E834" s="2">
        <v>45275</v>
      </c>
      <c r="F834" s="2" t="str">
        <f t="shared" ca="1" si="61"/>
        <v>No</v>
      </c>
      <c r="G834" s="2" t="str">
        <f t="shared" si="62"/>
        <v>Dec-2023</v>
      </c>
      <c r="H834" s="2">
        <v>45281</v>
      </c>
      <c r="I834">
        <v>6</v>
      </c>
      <c r="J834" t="s">
        <v>63</v>
      </c>
      <c r="K834">
        <v>3</v>
      </c>
      <c r="L834" t="s">
        <v>24</v>
      </c>
      <c r="M834" s="9">
        <v>30788</v>
      </c>
      <c r="N834" t="s">
        <v>25</v>
      </c>
      <c r="O834" t="s">
        <v>54</v>
      </c>
      <c r="P834" t="s">
        <v>41</v>
      </c>
      <c r="Q834" s="2">
        <v>45273</v>
      </c>
      <c r="R834" s="13">
        <f t="shared" si="63"/>
        <v>1260</v>
      </c>
      <c r="S834" s="13">
        <f t="shared" si="64"/>
        <v>1345.7142857144104</v>
      </c>
      <c r="T834" s="2">
        <v>45273.875</v>
      </c>
      <c r="U834" t="s">
        <v>55</v>
      </c>
      <c r="V834" t="s">
        <v>29</v>
      </c>
      <c r="W834" t="s">
        <v>43</v>
      </c>
      <c r="X834">
        <v>6</v>
      </c>
      <c r="Y834">
        <v>12</v>
      </c>
      <c r="Z834" t="s">
        <v>48</v>
      </c>
    </row>
    <row r="835" spans="1:26">
      <c r="A835" t="s">
        <v>892</v>
      </c>
      <c r="B835">
        <v>47</v>
      </c>
      <c r="C835" t="str">
        <f t="shared" ref="C835:C898" si="65">IF(B835&lt;18,"0-17",IF(B835&lt;=35,"18-35",IF(B835&lt;=50,"36-50",IF(B835&lt;=65,"51-65","66+"))))</f>
        <v>36-50</v>
      </c>
      <c r="D835" t="s">
        <v>41</v>
      </c>
      <c r="E835" s="2">
        <v>45357</v>
      </c>
      <c r="F835" s="2" t="str">
        <f t="shared" ref="F835:F898" ca="1" si="66">IF(E835&gt;=EDATE(TODAY(),-12),"Yes","No")</f>
        <v>No</v>
      </c>
      <c r="G835" s="2" t="str">
        <f t="shared" ref="G835:G898" si="67">TEXT(E835,"mmm-yyyy")</f>
        <v>Mar-2024</v>
      </c>
      <c r="H835" s="2">
        <v>45418</v>
      </c>
      <c r="I835">
        <v>2</v>
      </c>
      <c r="J835" t="s">
        <v>50</v>
      </c>
      <c r="K835">
        <v>4</v>
      </c>
      <c r="L835" t="s">
        <v>66</v>
      </c>
      <c r="M835" s="9">
        <v>17751</v>
      </c>
      <c r="N835" t="s">
        <v>25</v>
      </c>
      <c r="O835" t="s">
        <v>54</v>
      </c>
      <c r="P835" t="s">
        <v>27</v>
      </c>
      <c r="Q835" s="2">
        <v>45443</v>
      </c>
      <c r="R835" s="13">
        <f t="shared" ref="R835:R898" si="68">(T835-Q835)*1440</f>
        <v>959.99999999650754</v>
      </c>
      <c r="S835" s="13">
        <f t="shared" ref="S835:S898" si="69">AVERAGE(R835:R1333)</f>
        <v>1346.2275449103051</v>
      </c>
      <c r="T835" s="2">
        <v>45443.666666666664</v>
      </c>
      <c r="U835" t="s">
        <v>28</v>
      </c>
      <c r="V835" t="s">
        <v>29</v>
      </c>
      <c r="W835" t="s">
        <v>30</v>
      </c>
      <c r="X835">
        <v>5</v>
      </c>
      <c r="Y835">
        <v>10</v>
      </c>
      <c r="Z835" t="s">
        <v>31</v>
      </c>
    </row>
    <row r="836" spans="1:26">
      <c r="A836" t="s">
        <v>893</v>
      </c>
      <c r="B836">
        <v>56</v>
      </c>
      <c r="C836" t="str">
        <f t="shared" si="65"/>
        <v>51-65</v>
      </c>
      <c r="D836" t="s">
        <v>33</v>
      </c>
      <c r="E836" s="2">
        <v>44936</v>
      </c>
      <c r="F836" s="2" t="str">
        <f t="shared" ca="1" si="66"/>
        <v>No</v>
      </c>
      <c r="G836" s="2" t="str">
        <f t="shared" si="67"/>
        <v>Jan-2023</v>
      </c>
      <c r="H836" s="2">
        <v>45209</v>
      </c>
      <c r="I836">
        <v>9</v>
      </c>
      <c r="J836" t="s">
        <v>57</v>
      </c>
      <c r="K836">
        <v>4</v>
      </c>
      <c r="L836" t="s">
        <v>35</v>
      </c>
      <c r="M836" s="9">
        <v>38793</v>
      </c>
      <c r="N836" t="s">
        <v>36</v>
      </c>
      <c r="O836" t="s">
        <v>54</v>
      </c>
      <c r="P836" t="s">
        <v>27</v>
      </c>
      <c r="Q836" s="2">
        <v>45197</v>
      </c>
      <c r="R836" s="13">
        <f t="shared" si="68"/>
        <v>1620</v>
      </c>
      <c r="S836" s="13">
        <f t="shared" si="69"/>
        <v>1348.5542168676172</v>
      </c>
      <c r="T836" s="2">
        <v>45198.125</v>
      </c>
      <c r="U836" t="s">
        <v>28</v>
      </c>
      <c r="V836" t="s">
        <v>29</v>
      </c>
      <c r="W836" t="s">
        <v>43</v>
      </c>
      <c r="X836">
        <v>8</v>
      </c>
      <c r="Y836">
        <v>12</v>
      </c>
      <c r="Z836" t="s">
        <v>48</v>
      </c>
    </row>
    <row r="837" spans="1:26">
      <c r="A837" t="s">
        <v>894</v>
      </c>
      <c r="B837">
        <v>86</v>
      </c>
      <c r="C837" t="str">
        <f t="shared" si="65"/>
        <v>66+</v>
      </c>
      <c r="D837" t="s">
        <v>45</v>
      </c>
      <c r="E837" s="2">
        <v>44986</v>
      </c>
      <c r="F837" s="2" t="str">
        <f t="shared" ca="1" si="66"/>
        <v>No</v>
      </c>
      <c r="G837" s="2" t="str">
        <f t="shared" si="67"/>
        <v>Mar-2023</v>
      </c>
      <c r="H837" s="2">
        <v>45261</v>
      </c>
      <c r="I837">
        <v>9</v>
      </c>
      <c r="J837" t="s">
        <v>23</v>
      </c>
      <c r="K837">
        <v>2</v>
      </c>
      <c r="L837" t="s">
        <v>24</v>
      </c>
      <c r="M837" s="9">
        <v>37839</v>
      </c>
      <c r="N837" t="s">
        <v>25</v>
      </c>
      <c r="O837" t="s">
        <v>54</v>
      </c>
      <c r="P837" t="s">
        <v>41</v>
      </c>
      <c r="Q837" s="2">
        <v>44925</v>
      </c>
      <c r="R837" s="13">
        <f t="shared" si="68"/>
        <v>2820.0000000034925</v>
      </c>
      <c r="S837" s="13">
        <f t="shared" si="69"/>
        <v>1346.909090909239</v>
      </c>
      <c r="T837" s="2">
        <v>44926.958333333336</v>
      </c>
      <c r="U837" t="s">
        <v>42</v>
      </c>
      <c r="V837" t="s">
        <v>29</v>
      </c>
      <c r="W837" t="s">
        <v>47</v>
      </c>
      <c r="X837">
        <v>4</v>
      </c>
      <c r="Y837">
        <v>10</v>
      </c>
      <c r="Z837" t="s">
        <v>31</v>
      </c>
    </row>
    <row r="838" spans="1:26">
      <c r="A838" t="s">
        <v>895</v>
      </c>
      <c r="B838">
        <v>14</v>
      </c>
      <c r="C838" t="str">
        <f t="shared" si="65"/>
        <v>0-17</v>
      </c>
      <c r="D838" t="s">
        <v>62</v>
      </c>
      <c r="E838" s="2">
        <v>45216</v>
      </c>
      <c r="F838" s="2" t="str">
        <f t="shared" ca="1" si="66"/>
        <v>No</v>
      </c>
      <c r="G838" s="2" t="str">
        <f t="shared" si="67"/>
        <v>Oct-2023</v>
      </c>
      <c r="H838" s="2">
        <v>45225</v>
      </c>
      <c r="I838">
        <v>9</v>
      </c>
      <c r="J838" t="s">
        <v>23</v>
      </c>
      <c r="K838">
        <v>5</v>
      </c>
      <c r="L838" t="s">
        <v>46</v>
      </c>
      <c r="M838" s="9">
        <v>43314</v>
      </c>
      <c r="N838" t="s">
        <v>36</v>
      </c>
      <c r="O838" t="s">
        <v>26</v>
      </c>
      <c r="P838" t="s">
        <v>27</v>
      </c>
      <c r="Q838" s="2">
        <v>45270</v>
      </c>
      <c r="R838" s="13">
        <f t="shared" si="68"/>
        <v>1260</v>
      </c>
      <c r="S838" s="13">
        <f t="shared" si="69"/>
        <v>1337.9268292684205</v>
      </c>
      <c r="T838" s="2">
        <v>45270.875</v>
      </c>
      <c r="U838" t="s">
        <v>55</v>
      </c>
      <c r="V838" t="s">
        <v>29</v>
      </c>
      <c r="W838" t="s">
        <v>43</v>
      </c>
      <c r="X838">
        <v>11</v>
      </c>
      <c r="Y838">
        <v>12</v>
      </c>
      <c r="Z838" t="s">
        <v>31</v>
      </c>
    </row>
    <row r="839" spans="1:26">
      <c r="A839" t="s">
        <v>896</v>
      </c>
      <c r="B839">
        <v>28</v>
      </c>
      <c r="C839" t="str">
        <f t="shared" si="65"/>
        <v>18-35</v>
      </c>
      <c r="D839" t="s">
        <v>33</v>
      </c>
      <c r="E839" s="2">
        <v>44968</v>
      </c>
      <c r="F839" s="2" t="str">
        <f t="shared" ca="1" si="66"/>
        <v>No</v>
      </c>
      <c r="G839" s="2" t="str">
        <f t="shared" si="67"/>
        <v>Feb-2023</v>
      </c>
      <c r="H839" s="2">
        <v>45245</v>
      </c>
      <c r="I839">
        <v>13</v>
      </c>
      <c r="J839" t="s">
        <v>57</v>
      </c>
      <c r="K839">
        <v>1</v>
      </c>
      <c r="L839" t="s">
        <v>46</v>
      </c>
      <c r="M839" s="9">
        <v>40453</v>
      </c>
      <c r="N839" t="s">
        <v>36</v>
      </c>
      <c r="O839" t="s">
        <v>54</v>
      </c>
      <c r="P839" t="s">
        <v>41</v>
      </c>
      <c r="Q839" s="2">
        <v>45230</v>
      </c>
      <c r="R839" s="13">
        <f t="shared" si="68"/>
        <v>1080</v>
      </c>
      <c r="S839" s="13">
        <f t="shared" si="69"/>
        <v>1338.4049079755887</v>
      </c>
      <c r="T839" s="2">
        <v>45230.75</v>
      </c>
      <c r="U839" t="s">
        <v>37</v>
      </c>
      <c r="V839" t="s">
        <v>38</v>
      </c>
      <c r="W839" t="s">
        <v>43</v>
      </c>
      <c r="X839">
        <v>8</v>
      </c>
      <c r="Y839">
        <v>8</v>
      </c>
      <c r="Z839" t="s">
        <v>31</v>
      </c>
    </row>
    <row r="840" spans="1:26">
      <c r="A840" t="s">
        <v>897</v>
      </c>
      <c r="B840">
        <v>87</v>
      </c>
      <c r="C840" t="str">
        <f t="shared" si="65"/>
        <v>66+</v>
      </c>
      <c r="D840" t="s">
        <v>45</v>
      </c>
      <c r="E840" s="2">
        <v>45428</v>
      </c>
      <c r="F840" s="2" t="str">
        <f t="shared" ca="1" si="66"/>
        <v>No</v>
      </c>
      <c r="G840" s="2" t="str">
        <f t="shared" si="67"/>
        <v>May-2024</v>
      </c>
      <c r="H840" s="2">
        <v>45437</v>
      </c>
      <c r="I840">
        <v>9</v>
      </c>
      <c r="J840" t="s">
        <v>57</v>
      </c>
      <c r="K840">
        <v>5</v>
      </c>
      <c r="L840" t="s">
        <v>35</v>
      </c>
      <c r="M840" s="9">
        <v>14385</v>
      </c>
      <c r="N840" t="s">
        <v>60</v>
      </c>
      <c r="O840" t="s">
        <v>26</v>
      </c>
      <c r="P840" t="s">
        <v>27</v>
      </c>
      <c r="Q840" s="2">
        <v>45426</v>
      </c>
      <c r="R840" s="13">
        <f t="shared" si="68"/>
        <v>300.00000000349246</v>
      </c>
      <c r="S840" s="13">
        <f t="shared" si="69"/>
        <v>1340.0000000001294</v>
      </c>
      <c r="T840" s="2">
        <v>45426.208333333336</v>
      </c>
      <c r="U840" t="s">
        <v>28</v>
      </c>
      <c r="V840" t="s">
        <v>29</v>
      </c>
      <c r="W840" t="s">
        <v>47</v>
      </c>
      <c r="X840">
        <v>7</v>
      </c>
      <c r="Y840">
        <v>10</v>
      </c>
      <c r="Z840" t="s">
        <v>68</v>
      </c>
    </row>
    <row r="841" spans="1:26">
      <c r="A841" t="s">
        <v>898</v>
      </c>
      <c r="B841">
        <v>78</v>
      </c>
      <c r="C841" t="str">
        <f t="shared" si="65"/>
        <v>66+</v>
      </c>
      <c r="D841" t="s">
        <v>41</v>
      </c>
      <c r="E841" s="2">
        <v>44963</v>
      </c>
      <c r="F841" s="2" t="str">
        <f t="shared" ca="1" si="66"/>
        <v>No</v>
      </c>
      <c r="G841" s="2" t="str">
        <f t="shared" si="67"/>
        <v>Feb-2023</v>
      </c>
      <c r="H841" s="2">
        <v>45236</v>
      </c>
      <c r="I841">
        <v>9</v>
      </c>
      <c r="J841" t="s">
        <v>34</v>
      </c>
      <c r="K841">
        <v>3</v>
      </c>
      <c r="L841" t="s">
        <v>35</v>
      </c>
      <c r="M841" s="9">
        <v>23232</v>
      </c>
      <c r="N841" t="s">
        <v>53</v>
      </c>
      <c r="O841" t="s">
        <v>26</v>
      </c>
      <c r="P841" t="s">
        <v>27</v>
      </c>
      <c r="Q841" s="2">
        <v>45077</v>
      </c>
      <c r="R841" s="13">
        <f t="shared" si="68"/>
        <v>-208020.00000000349</v>
      </c>
      <c r="S841" s="13">
        <f t="shared" si="69"/>
        <v>1346.4596273293009</v>
      </c>
      <c r="T841" s="2">
        <v>44932.541666666664</v>
      </c>
      <c r="U841" t="s">
        <v>37</v>
      </c>
      <c r="V841" t="s">
        <v>29</v>
      </c>
      <c r="W841" t="s">
        <v>43</v>
      </c>
      <c r="X841">
        <v>4</v>
      </c>
      <c r="Y841">
        <v>8</v>
      </c>
      <c r="Z841" t="s">
        <v>48</v>
      </c>
    </row>
    <row r="842" spans="1:26">
      <c r="A842" t="s">
        <v>899</v>
      </c>
      <c r="B842">
        <v>88</v>
      </c>
      <c r="C842" t="str">
        <f t="shared" si="65"/>
        <v>66+</v>
      </c>
      <c r="D842" t="s">
        <v>52</v>
      </c>
      <c r="E842" s="2">
        <v>45326</v>
      </c>
      <c r="F842" s="2" t="str">
        <f t="shared" ca="1" si="66"/>
        <v>No</v>
      </c>
      <c r="G842" s="2" t="str">
        <f t="shared" si="67"/>
        <v>Feb-2024</v>
      </c>
      <c r="H842" s="2">
        <v>45355</v>
      </c>
      <c r="I842">
        <v>1</v>
      </c>
      <c r="J842" t="s">
        <v>57</v>
      </c>
      <c r="K842">
        <v>5</v>
      </c>
      <c r="L842" t="s">
        <v>24</v>
      </c>
      <c r="M842" s="9">
        <v>48344</v>
      </c>
      <c r="N842" t="s">
        <v>60</v>
      </c>
      <c r="O842" t="s">
        <v>54</v>
      </c>
      <c r="P842" t="s">
        <v>41</v>
      </c>
      <c r="Q842" s="2">
        <v>45382</v>
      </c>
      <c r="R842" s="13">
        <f t="shared" si="68"/>
        <v>-125280</v>
      </c>
      <c r="S842" s="13">
        <f t="shared" si="69"/>
        <v>2655.000000000131</v>
      </c>
      <c r="T842" s="2">
        <v>45295</v>
      </c>
      <c r="U842" t="s">
        <v>64</v>
      </c>
      <c r="V842" t="s">
        <v>29</v>
      </c>
      <c r="W842" t="s">
        <v>43</v>
      </c>
      <c r="X842">
        <v>7</v>
      </c>
      <c r="Y842">
        <v>12</v>
      </c>
      <c r="Z842" t="s">
        <v>68</v>
      </c>
    </row>
    <row r="843" spans="1:26">
      <c r="A843" t="s">
        <v>900</v>
      </c>
      <c r="B843">
        <v>2</v>
      </c>
      <c r="C843" t="str">
        <f t="shared" si="65"/>
        <v>0-17</v>
      </c>
      <c r="D843" t="s">
        <v>52</v>
      </c>
      <c r="E843" s="2">
        <v>45570</v>
      </c>
      <c r="F843" s="2" t="str">
        <f t="shared" ca="1" si="66"/>
        <v>No</v>
      </c>
      <c r="G843" s="2" t="str">
        <f t="shared" si="67"/>
        <v>Oct-2024</v>
      </c>
      <c r="H843" s="2">
        <v>45429</v>
      </c>
      <c r="I843">
        <v>7</v>
      </c>
      <c r="J843" t="s">
        <v>63</v>
      </c>
      <c r="K843">
        <v>3</v>
      </c>
      <c r="L843" t="s">
        <v>71</v>
      </c>
      <c r="M843" s="9">
        <v>39790</v>
      </c>
      <c r="N843" t="s">
        <v>60</v>
      </c>
      <c r="O843" t="s">
        <v>26</v>
      </c>
      <c r="P843" t="s">
        <v>27</v>
      </c>
      <c r="Q843" s="2">
        <v>45448</v>
      </c>
      <c r="R843" s="13">
        <f t="shared" si="68"/>
        <v>480.00000000349246</v>
      </c>
      <c r="S843" s="13">
        <f t="shared" si="69"/>
        <v>3459.6226415095657</v>
      </c>
      <c r="T843" s="2">
        <v>45448.333333333336</v>
      </c>
      <c r="U843" t="s">
        <v>28</v>
      </c>
      <c r="V843" t="s">
        <v>29</v>
      </c>
      <c r="W843" t="s">
        <v>30</v>
      </c>
      <c r="X843">
        <v>9</v>
      </c>
      <c r="Y843">
        <v>8</v>
      </c>
      <c r="Z843" t="s">
        <v>31</v>
      </c>
    </row>
    <row r="844" spans="1:26">
      <c r="A844" t="s">
        <v>901</v>
      </c>
      <c r="B844">
        <v>26</v>
      </c>
      <c r="C844" t="str">
        <f t="shared" si="65"/>
        <v>18-35</v>
      </c>
      <c r="D844" t="s">
        <v>22</v>
      </c>
      <c r="E844" s="2">
        <v>45280</v>
      </c>
      <c r="F844" s="2" t="str">
        <f t="shared" ca="1" si="66"/>
        <v>No</v>
      </c>
      <c r="G844" s="2" t="str">
        <f t="shared" si="67"/>
        <v>Dec-2023</v>
      </c>
      <c r="H844" s="2">
        <v>45352</v>
      </c>
      <c r="I844">
        <v>14</v>
      </c>
      <c r="J844" t="s">
        <v>23</v>
      </c>
      <c r="K844">
        <v>3</v>
      </c>
      <c r="L844" t="s">
        <v>35</v>
      </c>
      <c r="M844" s="9">
        <v>20831</v>
      </c>
      <c r="N844" t="s">
        <v>36</v>
      </c>
      <c r="O844" t="s">
        <v>54</v>
      </c>
      <c r="P844" t="s">
        <v>41</v>
      </c>
      <c r="Q844" s="2">
        <v>45277</v>
      </c>
      <c r="R844" s="13">
        <f t="shared" si="68"/>
        <v>1980</v>
      </c>
      <c r="S844" s="13">
        <f t="shared" si="69"/>
        <v>3478.4810126583384</v>
      </c>
      <c r="T844" s="2">
        <v>45278.375</v>
      </c>
      <c r="U844" t="s">
        <v>42</v>
      </c>
      <c r="V844" t="s">
        <v>29</v>
      </c>
      <c r="W844" t="s">
        <v>47</v>
      </c>
      <c r="X844">
        <v>10</v>
      </c>
      <c r="Y844">
        <v>12</v>
      </c>
      <c r="Z844" t="s">
        <v>68</v>
      </c>
    </row>
    <row r="845" spans="1:26">
      <c r="A845" t="s">
        <v>902</v>
      </c>
      <c r="B845">
        <v>14</v>
      </c>
      <c r="C845" t="str">
        <f t="shared" si="65"/>
        <v>0-17</v>
      </c>
      <c r="D845" t="s">
        <v>45</v>
      </c>
      <c r="E845" s="2">
        <v>45119</v>
      </c>
      <c r="F845" s="2" t="str">
        <f t="shared" ca="1" si="66"/>
        <v>No</v>
      </c>
      <c r="G845" s="2" t="str">
        <f t="shared" si="67"/>
        <v>Jul-2023</v>
      </c>
      <c r="H845" s="2">
        <v>45275</v>
      </c>
      <c r="I845">
        <v>8</v>
      </c>
      <c r="J845" t="s">
        <v>40</v>
      </c>
      <c r="K845">
        <v>1</v>
      </c>
      <c r="L845" t="s">
        <v>71</v>
      </c>
      <c r="M845" s="9">
        <v>25125</v>
      </c>
      <c r="N845" t="s">
        <v>36</v>
      </c>
      <c r="O845" t="s">
        <v>54</v>
      </c>
      <c r="P845" t="s">
        <v>41</v>
      </c>
      <c r="Q845" s="2">
        <v>45028</v>
      </c>
      <c r="R845" s="13">
        <f t="shared" si="68"/>
        <v>44400.000000003492</v>
      </c>
      <c r="S845" s="13">
        <f t="shared" si="69"/>
        <v>3488.0254777071177</v>
      </c>
      <c r="T845" s="2">
        <v>45058.833333333336</v>
      </c>
      <c r="U845" t="s">
        <v>64</v>
      </c>
      <c r="V845" t="s">
        <v>29</v>
      </c>
      <c r="W845" t="s">
        <v>47</v>
      </c>
      <c r="X845">
        <v>10</v>
      </c>
      <c r="Y845">
        <v>10</v>
      </c>
      <c r="Z845" t="s">
        <v>48</v>
      </c>
    </row>
    <row r="846" spans="1:26">
      <c r="A846" t="s">
        <v>903</v>
      </c>
      <c r="B846">
        <v>59</v>
      </c>
      <c r="C846" t="str">
        <f t="shared" si="65"/>
        <v>51-65</v>
      </c>
      <c r="D846" t="s">
        <v>52</v>
      </c>
      <c r="E846" s="2">
        <v>45313</v>
      </c>
      <c r="F846" s="2" t="str">
        <f t="shared" ca="1" si="66"/>
        <v>No</v>
      </c>
      <c r="G846" s="2" t="str">
        <f t="shared" si="67"/>
        <v>Jan-2024</v>
      </c>
      <c r="H846" s="2">
        <v>45314</v>
      </c>
      <c r="I846">
        <v>1</v>
      </c>
      <c r="J846" t="s">
        <v>23</v>
      </c>
      <c r="K846">
        <v>2</v>
      </c>
      <c r="L846" t="s">
        <v>66</v>
      </c>
      <c r="M846" s="9">
        <v>22682</v>
      </c>
      <c r="N846" t="s">
        <v>25</v>
      </c>
      <c r="O846" t="s">
        <v>54</v>
      </c>
      <c r="P846" t="s">
        <v>41</v>
      </c>
      <c r="Q846" s="2">
        <v>45313</v>
      </c>
      <c r="R846" s="13">
        <f t="shared" si="68"/>
        <v>239.99999999650754</v>
      </c>
      <c r="S846" s="13">
        <f t="shared" si="69"/>
        <v>3225.7692307693205</v>
      </c>
      <c r="T846" s="2">
        <v>45313.166666666664</v>
      </c>
      <c r="U846" t="s">
        <v>55</v>
      </c>
      <c r="V846" t="s">
        <v>29</v>
      </c>
      <c r="W846" t="s">
        <v>30</v>
      </c>
      <c r="X846">
        <v>10</v>
      </c>
      <c r="Y846">
        <v>12</v>
      </c>
      <c r="Z846" t="s">
        <v>31</v>
      </c>
    </row>
    <row r="847" spans="1:26">
      <c r="A847" t="s">
        <v>904</v>
      </c>
      <c r="B847">
        <v>56</v>
      </c>
      <c r="C847" t="str">
        <f t="shared" si="65"/>
        <v>51-65</v>
      </c>
      <c r="D847" t="s">
        <v>62</v>
      </c>
      <c r="E847" s="2">
        <v>45600</v>
      </c>
      <c r="F847" s="2" t="str">
        <f t="shared" ca="1" si="66"/>
        <v>No</v>
      </c>
      <c r="G847" s="2" t="str">
        <f t="shared" si="67"/>
        <v>Nov-2024</v>
      </c>
      <c r="H847" s="2">
        <v>45404</v>
      </c>
      <c r="I847">
        <v>11</v>
      </c>
      <c r="J847" t="s">
        <v>50</v>
      </c>
      <c r="K847">
        <v>1</v>
      </c>
      <c r="L847" t="s">
        <v>46</v>
      </c>
      <c r="M847" s="9">
        <v>41870</v>
      </c>
      <c r="N847" t="s">
        <v>25</v>
      </c>
      <c r="O847" t="s">
        <v>54</v>
      </c>
      <c r="P847" t="s">
        <v>27</v>
      </c>
      <c r="Q847" s="2">
        <v>45447</v>
      </c>
      <c r="R847" s="13">
        <f t="shared" si="68"/>
        <v>720</v>
      </c>
      <c r="S847" s="13">
        <f t="shared" si="69"/>
        <v>3245.0322580646289</v>
      </c>
      <c r="T847" s="2">
        <v>45447.5</v>
      </c>
      <c r="U847" t="s">
        <v>37</v>
      </c>
      <c r="V847" t="s">
        <v>29</v>
      </c>
      <c r="W847" t="s">
        <v>30</v>
      </c>
      <c r="X847">
        <v>5</v>
      </c>
      <c r="Y847">
        <v>12</v>
      </c>
      <c r="Z847" t="s">
        <v>68</v>
      </c>
    </row>
    <row r="848" spans="1:26">
      <c r="A848" t="s">
        <v>905</v>
      </c>
      <c r="B848">
        <v>7</v>
      </c>
      <c r="C848" t="str">
        <f t="shared" si="65"/>
        <v>0-17</v>
      </c>
      <c r="D848" t="s">
        <v>45</v>
      </c>
      <c r="E848" s="2">
        <v>45256</v>
      </c>
      <c r="F848" s="2" t="str">
        <f t="shared" ca="1" si="66"/>
        <v>No</v>
      </c>
      <c r="G848" s="2" t="str">
        <f t="shared" si="67"/>
        <v>Nov-2023</v>
      </c>
      <c r="H848" s="2">
        <v>44997</v>
      </c>
      <c r="I848">
        <v>7</v>
      </c>
      <c r="J848" t="s">
        <v>23</v>
      </c>
      <c r="K848">
        <v>5</v>
      </c>
      <c r="L848" t="s">
        <v>71</v>
      </c>
      <c r="M848" s="9">
        <v>22288</v>
      </c>
      <c r="N848" t="s">
        <v>60</v>
      </c>
      <c r="O848" t="s">
        <v>54</v>
      </c>
      <c r="P848" t="s">
        <v>27</v>
      </c>
      <c r="Q848" s="2">
        <v>45253</v>
      </c>
      <c r="R848" s="13">
        <f t="shared" si="68"/>
        <v>900</v>
      </c>
      <c r="S848" s="13">
        <f t="shared" si="69"/>
        <v>3261.4285714286848</v>
      </c>
      <c r="T848" s="2">
        <v>45253.625</v>
      </c>
      <c r="U848" t="s">
        <v>28</v>
      </c>
      <c r="V848" t="s">
        <v>29</v>
      </c>
      <c r="W848" t="s">
        <v>43</v>
      </c>
      <c r="X848">
        <v>6</v>
      </c>
      <c r="Y848">
        <v>10</v>
      </c>
      <c r="Z848" t="s">
        <v>68</v>
      </c>
    </row>
    <row r="849" spans="1:26">
      <c r="A849" t="s">
        <v>906</v>
      </c>
      <c r="B849">
        <v>3</v>
      </c>
      <c r="C849" t="str">
        <f t="shared" si="65"/>
        <v>0-17</v>
      </c>
      <c r="D849" t="s">
        <v>62</v>
      </c>
      <c r="E849" s="2">
        <v>45120</v>
      </c>
      <c r="F849" s="2" t="str">
        <f t="shared" ca="1" si="66"/>
        <v>No</v>
      </c>
      <c r="G849" s="2" t="str">
        <f t="shared" si="67"/>
        <v>Jul-2023</v>
      </c>
      <c r="H849" s="2">
        <v>45126</v>
      </c>
      <c r="I849">
        <v>6</v>
      </c>
      <c r="J849" t="s">
        <v>34</v>
      </c>
      <c r="K849">
        <v>3</v>
      </c>
      <c r="L849" t="s">
        <v>46</v>
      </c>
      <c r="M849" s="9">
        <v>40794</v>
      </c>
      <c r="N849" t="s">
        <v>67</v>
      </c>
      <c r="O849" t="s">
        <v>54</v>
      </c>
      <c r="P849" t="s">
        <v>27</v>
      </c>
      <c r="Q849" s="2">
        <v>45237</v>
      </c>
      <c r="R849" s="13">
        <f t="shared" si="68"/>
        <v>43799.999999996508</v>
      </c>
      <c r="S849" s="13">
        <f t="shared" si="69"/>
        <v>3276.8627450981535</v>
      </c>
      <c r="T849" s="2">
        <v>45267.416666666664</v>
      </c>
      <c r="U849" t="s">
        <v>64</v>
      </c>
      <c r="V849" t="s">
        <v>29</v>
      </c>
      <c r="W849" t="s">
        <v>43</v>
      </c>
      <c r="X849">
        <v>8</v>
      </c>
      <c r="Y849">
        <v>12</v>
      </c>
      <c r="Z849" t="s">
        <v>48</v>
      </c>
    </row>
    <row r="850" spans="1:26">
      <c r="A850" t="s">
        <v>907</v>
      </c>
      <c r="B850">
        <v>23</v>
      </c>
      <c r="C850" t="str">
        <f t="shared" si="65"/>
        <v>18-35</v>
      </c>
      <c r="D850" t="s">
        <v>62</v>
      </c>
      <c r="E850" s="2">
        <v>44966</v>
      </c>
      <c r="F850" s="2" t="str">
        <f t="shared" ca="1" si="66"/>
        <v>No</v>
      </c>
      <c r="G850" s="2" t="str">
        <f t="shared" si="67"/>
        <v>Feb-2023</v>
      </c>
      <c r="H850" s="2">
        <v>45116</v>
      </c>
      <c r="I850">
        <v>5</v>
      </c>
      <c r="J850" t="s">
        <v>57</v>
      </c>
      <c r="K850">
        <v>4</v>
      </c>
      <c r="L850" t="s">
        <v>71</v>
      </c>
      <c r="M850" s="9">
        <v>44477</v>
      </c>
      <c r="N850" t="s">
        <v>67</v>
      </c>
      <c r="O850" t="s">
        <v>54</v>
      </c>
      <c r="P850" t="s">
        <v>41</v>
      </c>
      <c r="Q850" s="2">
        <v>44935</v>
      </c>
      <c r="R850" s="13">
        <f t="shared" si="68"/>
        <v>180</v>
      </c>
      <c r="S850" s="13">
        <f t="shared" si="69"/>
        <v>3010.2631578948749</v>
      </c>
      <c r="T850" s="2">
        <v>44935.125</v>
      </c>
      <c r="U850" t="s">
        <v>64</v>
      </c>
      <c r="V850" t="s">
        <v>29</v>
      </c>
      <c r="W850" t="s">
        <v>43</v>
      </c>
      <c r="X850">
        <v>7</v>
      </c>
      <c r="Y850">
        <v>10</v>
      </c>
      <c r="Z850" t="s">
        <v>68</v>
      </c>
    </row>
    <row r="851" spans="1:26">
      <c r="A851" t="s">
        <v>908</v>
      </c>
      <c r="B851">
        <v>18</v>
      </c>
      <c r="C851" t="str">
        <f t="shared" si="65"/>
        <v>18-35</v>
      </c>
      <c r="D851" t="s">
        <v>52</v>
      </c>
      <c r="E851" s="2">
        <v>45319</v>
      </c>
      <c r="F851" s="2" t="str">
        <f t="shared" ca="1" si="66"/>
        <v>No</v>
      </c>
      <c r="G851" s="2" t="str">
        <f t="shared" si="67"/>
        <v>Jan-2024</v>
      </c>
      <c r="H851" s="2">
        <v>45537</v>
      </c>
      <c r="I851">
        <v>12</v>
      </c>
      <c r="J851" t="s">
        <v>57</v>
      </c>
      <c r="K851">
        <v>4</v>
      </c>
      <c r="L851" t="s">
        <v>66</v>
      </c>
      <c r="M851" s="9">
        <v>29405</v>
      </c>
      <c r="N851" t="s">
        <v>25</v>
      </c>
      <c r="O851" t="s">
        <v>54</v>
      </c>
      <c r="P851" t="s">
        <v>41</v>
      </c>
      <c r="Q851" s="2">
        <v>45317</v>
      </c>
      <c r="R851" s="13">
        <f t="shared" si="68"/>
        <v>1560.0000000034925</v>
      </c>
      <c r="S851" s="13">
        <f t="shared" si="69"/>
        <v>3029.0066225166952</v>
      </c>
      <c r="T851" s="2">
        <v>45318.083333333336</v>
      </c>
      <c r="U851" t="s">
        <v>28</v>
      </c>
      <c r="V851" t="s">
        <v>38</v>
      </c>
      <c r="W851" t="s">
        <v>30</v>
      </c>
      <c r="X851">
        <v>5</v>
      </c>
      <c r="Y851">
        <v>12</v>
      </c>
      <c r="Z851" t="s">
        <v>48</v>
      </c>
    </row>
    <row r="852" spans="1:26">
      <c r="A852" t="s">
        <v>909</v>
      </c>
      <c r="B852">
        <v>38</v>
      </c>
      <c r="C852" t="str">
        <f t="shared" si="65"/>
        <v>36-50</v>
      </c>
      <c r="D852" t="s">
        <v>45</v>
      </c>
      <c r="E852" s="2">
        <v>45166</v>
      </c>
      <c r="F852" s="2" t="str">
        <f t="shared" ca="1" si="66"/>
        <v>No</v>
      </c>
      <c r="G852" s="2" t="str">
        <f t="shared" si="67"/>
        <v>Aug-2023</v>
      </c>
      <c r="H852" s="2">
        <v>45167</v>
      </c>
      <c r="I852">
        <v>1</v>
      </c>
      <c r="J852" t="s">
        <v>23</v>
      </c>
      <c r="K852">
        <v>3</v>
      </c>
      <c r="L852" t="s">
        <v>35</v>
      </c>
      <c r="M852" s="9">
        <v>43737</v>
      </c>
      <c r="N852" t="s">
        <v>67</v>
      </c>
      <c r="O852" t="s">
        <v>54</v>
      </c>
      <c r="P852" t="s">
        <v>27</v>
      </c>
      <c r="Q852" s="2">
        <v>45164</v>
      </c>
      <c r="R852" s="13">
        <f t="shared" si="68"/>
        <v>300.00000000349246</v>
      </c>
      <c r="S852" s="13">
        <f t="shared" si="69"/>
        <v>3038.8000000001166</v>
      </c>
      <c r="T852" s="2">
        <v>45164.208333333336</v>
      </c>
      <c r="U852" t="s">
        <v>55</v>
      </c>
      <c r="V852" t="s">
        <v>29</v>
      </c>
      <c r="W852" t="s">
        <v>47</v>
      </c>
      <c r="X852">
        <v>10</v>
      </c>
      <c r="Y852">
        <v>10</v>
      </c>
      <c r="Z852" t="s">
        <v>31</v>
      </c>
    </row>
    <row r="853" spans="1:26">
      <c r="A853" t="s">
        <v>910</v>
      </c>
      <c r="B853">
        <v>15</v>
      </c>
      <c r="C853" t="str">
        <f t="shared" si="65"/>
        <v>0-17</v>
      </c>
      <c r="D853" t="s">
        <v>41</v>
      </c>
      <c r="E853" s="2">
        <v>45347</v>
      </c>
      <c r="F853" s="2" t="str">
        <f t="shared" ca="1" si="66"/>
        <v>No</v>
      </c>
      <c r="G853" s="2" t="str">
        <f t="shared" si="67"/>
        <v>Feb-2024</v>
      </c>
      <c r="H853" s="2">
        <v>45325</v>
      </c>
      <c r="I853">
        <v>6</v>
      </c>
      <c r="J853" t="s">
        <v>40</v>
      </c>
      <c r="K853">
        <v>1</v>
      </c>
      <c r="L853" t="s">
        <v>66</v>
      </c>
      <c r="M853" s="9">
        <v>7620</v>
      </c>
      <c r="N853" t="s">
        <v>25</v>
      </c>
      <c r="O853" t="s">
        <v>54</v>
      </c>
      <c r="P853" t="s">
        <v>27</v>
      </c>
      <c r="Q853" s="2">
        <v>45344</v>
      </c>
      <c r="R853" s="13">
        <f t="shared" si="68"/>
        <v>1800</v>
      </c>
      <c r="S853" s="13">
        <f t="shared" si="69"/>
        <v>3057.1812080537852</v>
      </c>
      <c r="T853" s="2">
        <v>45345.25</v>
      </c>
      <c r="U853" t="s">
        <v>55</v>
      </c>
      <c r="V853" t="s">
        <v>29</v>
      </c>
      <c r="W853" t="s">
        <v>43</v>
      </c>
      <c r="X853">
        <v>8</v>
      </c>
      <c r="Y853">
        <v>8</v>
      </c>
      <c r="Z853" t="s">
        <v>31</v>
      </c>
    </row>
    <row r="854" spans="1:26">
      <c r="A854" t="s">
        <v>911</v>
      </c>
      <c r="B854">
        <v>64</v>
      </c>
      <c r="C854" t="str">
        <f t="shared" si="65"/>
        <v>51-65</v>
      </c>
      <c r="D854" t="s">
        <v>33</v>
      </c>
      <c r="E854" s="2">
        <v>44971</v>
      </c>
      <c r="F854" s="2" t="str">
        <f t="shared" ca="1" si="66"/>
        <v>No</v>
      </c>
      <c r="G854" s="2" t="str">
        <f t="shared" si="67"/>
        <v>Feb-2023</v>
      </c>
      <c r="H854" s="2">
        <v>44984</v>
      </c>
      <c r="I854">
        <v>13</v>
      </c>
      <c r="J854" t="s">
        <v>40</v>
      </c>
      <c r="K854">
        <v>2</v>
      </c>
      <c r="L854" t="s">
        <v>35</v>
      </c>
      <c r="M854" s="9">
        <v>40414</v>
      </c>
      <c r="N854" t="s">
        <v>36</v>
      </c>
      <c r="O854" t="s">
        <v>54</v>
      </c>
      <c r="P854" t="s">
        <v>27</v>
      </c>
      <c r="Q854" s="2">
        <v>44971</v>
      </c>
      <c r="R854" s="13">
        <f t="shared" si="68"/>
        <v>1139.9999999965075</v>
      </c>
      <c r="S854" s="13">
        <f t="shared" si="69"/>
        <v>3065.67567567577</v>
      </c>
      <c r="T854" s="2">
        <v>44971.791666666664</v>
      </c>
      <c r="U854" t="s">
        <v>42</v>
      </c>
      <c r="V854" t="s">
        <v>29</v>
      </c>
      <c r="W854" t="s">
        <v>30</v>
      </c>
      <c r="X854">
        <v>8</v>
      </c>
      <c r="Y854">
        <v>12</v>
      </c>
      <c r="Z854" t="s">
        <v>68</v>
      </c>
    </row>
    <row r="855" spans="1:26">
      <c r="A855" t="s">
        <v>912</v>
      </c>
      <c r="B855">
        <v>89</v>
      </c>
      <c r="C855" t="str">
        <f t="shared" si="65"/>
        <v>66+</v>
      </c>
      <c r="D855" t="s">
        <v>52</v>
      </c>
      <c r="E855" s="2">
        <v>45252</v>
      </c>
      <c r="F855" s="2" t="str">
        <f t="shared" ca="1" si="66"/>
        <v>No</v>
      </c>
      <c r="G855" s="2" t="str">
        <f t="shared" si="67"/>
        <v>Nov-2023</v>
      </c>
      <c r="H855" s="2">
        <v>45254</v>
      </c>
      <c r="I855">
        <v>2</v>
      </c>
      <c r="J855" t="s">
        <v>34</v>
      </c>
      <c r="K855">
        <v>1</v>
      </c>
      <c r="L855" t="s">
        <v>35</v>
      </c>
      <c r="M855" s="9">
        <v>42633</v>
      </c>
      <c r="N855" t="s">
        <v>60</v>
      </c>
      <c r="O855" t="s">
        <v>54</v>
      </c>
      <c r="P855" t="s">
        <v>41</v>
      </c>
      <c r="Q855" s="2">
        <v>45248</v>
      </c>
      <c r="R855" s="13">
        <f t="shared" si="68"/>
        <v>1200.0000000034925</v>
      </c>
      <c r="S855" s="13">
        <f t="shared" si="69"/>
        <v>3078.7755102042006</v>
      </c>
      <c r="T855" s="2">
        <v>45248.833333333336</v>
      </c>
      <c r="U855" t="s">
        <v>55</v>
      </c>
      <c r="V855" t="s">
        <v>29</v>
      </c>
      <c r="W855" t="s">
        <v>47</v>
      </c>
      <c r="X855">
        <v>9</v>
      </c>
      <c r="Y855">
        <v>12</v>
      </c>
      <c r="Z855" t="s">
        <v>31</v>
      </c>
    </row>
    <row r="856" spans="1:26">
      <c r="A856" t="s">
        <v>913</v>
      </c>
      <c r="B856">
        <v>28</v>
      </c>
      <c r="C856" t="str">
        <f t="shared" si="65"/>
        <v>18-35</v>
      </c>
      <c r="D856" t="s">
        <v>52</v>
      </c>
      <c r="E856" s="2">
        <v>45411</v>
      </c>
      <c r="F856" s="2" t="str">
        <f t="shared" ca="1" si="66"/>
        <v>No</v>
      </c>
      <c r="G856" s="2" t="str">
        <f t="shared" si="67"/>
        <v>Apr-2024</v>
      </c>
      <c r="H856" s="2">
        <v>45417</v>
      </c>
      <c r="I856">
        <v>6</v>
      </c>
      <c r="J856" t="s">
        <v>50</v>
      </c>
      <c r="K856">
        <v>3</v>
      </c>
      <c r="L856" t="s">
        <v>46</v>
      </c>
      <c r="M856" s="9">
        <v>40057</v>
      </c>
      <c r="N856" t="s">
        <v>53</v>
      </c>
      <c r="O856" t="s">
        <v>54</v>
      </c>
      <c r="P856" t="s">
        <v>27</v>
      </c>
      <c r="Q856" s="2">
        <v>45410</v>
      </c>
      <c r="R856" s="13">
        <f t="shared" si="68"/>
        <v>1260</v>
      </c>
      <c r="S856" s="13">
        <f t="shared" si="69"/>
        <v>3091.643835616534</v>
      </c>
      <c r="T856" s="2">
        <v>45410.875</v>
      </c>
      <c r="U856" t="s">
        <v>42</v>
      </c>
      <c r="V856" t="s">
        <v>29</v>
      </c>
      <c r="W856" t="s">
        <v>30</v>
      </c>
      <c r="X856">
        <v>9</v>
      </c>
      <c r="Y856">
        <v>12</v>
      </c>
      <c r="Z856" t="s">
        <v>31</v>
      </c>
    </row>
    <row r="857" spans="1:26">
      <c r="A857" t="s">
        <v>914</v>
      </c>
      <c r="B857">
        <v>74</v>
      </c>
      <c r="C857" t="str">
        <f t="shared" si="65"/>
        <v>66+</v>
      </c>
      <c r="D857" t="s">
        <v>41</v>
      </c>
      <c r="E857" s="2">
        <v>45317</v>
      </c>
      <c r="F857" s="2" t="str">
        <f t="shared" ca="1" si="66"/>
        <v>No</v>
      </c>
      <c r="G857" s="2" t="str">
        <f t="shared" si="67"/>
        <v>Jan-2024</v>
      </c>
      <c r="H857" s="2">
        <v>45321</v>
      </c>
      <c r="I857">
        <v>4</v>
      </c>
      <c r="J857" t="s">
        <v>23</v>
      </c>
      <c r="K857">
        <v>3</v>
      </c>
      <c r="L857" t="s">
        <v>66</v>
      </c>
      <c r="M857" s="9">
        <v>45138</v>
      </c>
      <c r="N857" t="s">
        <v>60</v>
      </c>
      <c r="O857" t="s">
        <v>54</v>
      </c>
      <c r="P857" t="s">
        <v>27</v>
      </c>
      <c r="Q857" s="2">
        <v>45312</v>
      </c>
      <c r="R857" s="13">
        <f t="shared" si="68"/>
        <v>360</v>
      </c>
      <c r="S857" s="13">
        <f t="shared" si="69"/>
        <v>3104.275862069062</v>
      </c>
      <c r="T857" s="2">
        <v>45312.25</v>
      </c>
      <c r="U857" t="s">
        <v>64</v>
      </c>
      <c r="V857" t="s">
        <v>29</v>
      </c>
      <c r="W857" t="s">
        <v>43</v>
      </c>
      <c r="X857">
        <v>10</v>
      </c>
      <c r="Y857">
        <v>10</v>
      </c>
      <c r="Z857" t="s">
        <v>68</v>
      </c>
    </row>
    <row r="858" spans="1:26">
      <c r="A858" t="s">
        <v>915</v>
      </c>
      <c r="B858">
        <v>39</v>
      </c>
      <c r="C858" t="str">
        <f t="shared" si="65"/>
        <v>36-50</v>
      </c>
      <c r="D858" t="s">
        <v>45</v>
      </c>
      <c r="E858" s="2">
        <v>45322</v>
      </c>
      <c r="F858" s="2" t="str">
        <f t="shared" ca="1" si="66"/>
        <v>No</v>
      </c>
      <c r="G858" s="2" t="str">
        <f t="shared" si="67"/>
        <v>Jan-2024</v>
      </c>
      <c r="H858" s="2">
        <v>45628</v>
      </c>
      <c r="I858">
        <v>12</v>
      </c>
      <c r="J858" t="s">
        <v>57</v>
      </c>
      <c r="K858">
        <v>2</v>
      </c>
      <c r="L858" t="s">
        <v>71</v>
      </c>
      <c r="M858" s="9">
        <v>18854</v>
      </c>
      <c r="N858" t="s">
        <v>25</v>
      </c>
      <c r="O858" t="s">
        <v>54</v>
      </c>
      <c r="P858" t="s">
        <v>27</v>
      </c>
      <c r="Q858" s="2">
        <v>45321</v>
      </c>
      <c r="R858" s="13">
        <f t="shared" si="68"/>
        <v>2160</v>
      </c>
      <c r="S858" s="13">
        <f t="shared" si="69"/>
        <v>3123.3333333334303</v>
      </c>
      <c r="T858" s="2">
        <v>45322.5</v>
      </c>
      <c r="U858" t="s">
        <v>28</v>
      </c>
      <c r="V858" t="s">
        <v>29</v>
      </c>
      <c r="W858" t="s">
        <v>30</v>
      </c>
      <c r="X858">
        <v>7</v>
      </c>
      <c r="Y858">
        <v>12</v>
      </c>
      <c r="Z858" t="s">
        <v>31</v>
      </c>
    </row>
    <row r="859" spans="1:26">
      <c r="A859" t="s">
        <v>916</v>
      </c>
      <c r="B859">
        <v>57</v>
      </c>
      <c r="C859" t="str">
        <f t="shared" si="65"/>
        <v>51-65</v>
      </c>
      <c r="D859" t="s">
        <v>45</v>
      </c>
      <c r="E859" s="2">
        <v>45052</v>
      </c>
      <c r="F859" s="2" t="str">
        <f t="shared" ca="1" si="66"/>
        <v>No</v>
      </c>
      <c r="G859" s="2" t="str">
        <f t="shared" si="67"/>
        <v>May-2023</v>
      </c>
      <c r="H859" s="2">
        <v>45093</v>
      </c>
      <c r="I859">
        <v>11</v>
      </c>
      <c r="J859" t="s">
        <v>23</v>
      </c>
      <c r="K859">
        <v>5</v>
      </c>
      <c r="L859" t="s">
        <v>66</v>
      </c>
      <c r="M859" s="9">
        <v>14677</v>
      </c>
      <c r="N859" t="s">
        <v>25</v>
      </c>
      <c r="O859" t="s">
        <v>26</v>
      </c>
      <c r="P859" t="s">
        <v>27</v>
      </c>
      <c r="Q859" s="2">
        <v>45052</v>
      </c>
      <c r="R859" s="13">
        <f t="shared" si="68"/>
        <v>45000</v>
      </c>
      <c r="S859" s="13">
        <f t="shared" si="69"/>
        <v>3130.0699300700276</v>
      </c>
      <c r="T859" s="2">
        <v>45083.25</v>
      </c>
      <c r="U859" t="s">
        <v>55</v>
      </c>
      <c r="V859" t="s">
        <v>29</v>
      </c>
      <c r="W859" t="s">
        <v>30</v>
      </c>
      <c r="X859">
        <v>10</v>
      </c>
      <c r="Y859">
        <v>10</v>
      </c>
      <c r="Z859" t="s">
        <v>68</v>
      </c>
    </row>
    <row r="860" spans="1:26">
      <c r="A860" t="s">
        <v>917</v>
      </c>
      <c r="B860">
        <v>17</v>
      </c>
      <c r="C860" t="str">
        <f t="shared" si="65"/>
        <v>0-17</v>
      </c>
      <c r="D860" t="s">
        <v>62</v>
      </c>
      <c r="E860" s="2">
        <v>45434</v>
      </c>
      <c r="F860" s="2" t="str">
        <f t="shared" ca="1" si="66"/>
        <v>No</v>
      </c>
      <c r="G860" s="2" t="str">
        <f t="shared" si="67"/>
        <v>May-2024</v>
      </c>
      <c r="H860" s="2">
        <v>45328</v>
      </c>
      <c r="I860">
        <v>11</v>
      </c>
      <c r="J860" t="s">
        <v>34</v>
      </c>
      <c r="K860">
        <v>5</v>
      </c>
      <c r="L860" t="s">
        <v>46</v>
      </c>
      <c r="M860" s="9">
        <v>49111</v>
      </c>
      <c r="N860" t="s">
        <v>60</v>
      </c>
      <c r="O860" t="s">
        <v>54</v>
      </c>
      <c r="P860" t="s">
        <v>41</v>
      </c>
      <c r="Q860" s="2">
        <v>45432</v>
      </c>
      <c r="R860" s="13">
        <f t="shared" si="68"/>
        <v>59.99999999650754</v>
      </c>
      <c r="S860" s="13">
        <f t="shared" si="69"/>
        <v>2835.2112676057322</v>
      </c>
      <c r="T860" s="2">
        <v>45432.041666666664</v>
      </c>
      <c r="U860" t="s">
        <v>42</v>
      </c>
      <c r="V860" t="s">
        <v>29</v>
      </c>
      <c r="W860" t="s">
        <v>30</v>
      </c>
      <c r="X860">
        <v>10</v>
      </c>
      <c r="Y860">
        <v>12</v>
      </c>
      <c r="Z860" t="s">
        <v>48</v>
      </c>
    </row>
    <row r="861" spans="1:26">
      <c r="A861" t="s">
        <v>918</v>
      </c>
      <c r="B861">
        <v>86</v>
      </c>
      <c r="C861" t="str">
        <f t="shared" si="65"/>
        <v>66+</v>
      </c>
      <c r="D861" t="s">
        <v>41</v>
      </c>
      <c r="E861" s="2">
        <v>45109</v>
      </c>
      <c r="F861" s="2" t="str">
        <f t="shared" ca="1" si="66"/>
        <v>No</v>
      </c>
      <c r="G861" s="2" t="str">
        <f t="shared" si="67"/>
        <v>Jul-2023</v>
      </c>
      <c r="H861" s="2">
        <v>45171</v>
      </c>
      <c r="I861">
        <v>2</v>
      </c>
      <c r="J861" t="s">
        <v>63</v>
      </c>
      <c r="K861">
        <v>2</v>
      </c>
      <c r="L861" t="s">
        <v>35</v>
      </c>
      <c r="M861" s="9">
        <v>29074</v>
      </c>
      <c r="N861" t="s">
        <v>25</v>
      </c>
      <c r="O861" t="s">
        <v>26</v>
      </c>
      <c r="P861" t="s">
        <v>27</v>
      </c>
      <c r="Q861" s="2">
        <v>44987</v>
      </c>
      <c r="R861" s="13">
        <f t="shared" si="68"/>
        <v>44640</v>
      </c>
      <c r="S861" s="13">
        <f t="shared" si="69"/>
        <v>2854.8936170214006</v>
      </c>
      <c r="T861" s="2">
        <v>45018</v>
      </c>
      <c r="U861" t="s">
        <v>64</v>
      </c>
      <c r="V861" t="s">
        <v>29</v>
      </c>
      <c r="W861" t="s">
        <v>30</v>
      </c>
      <c r="X861">
        <v>5</v>
      </c>
      <c r="Y861">
        <v>8</v>
      </c>
      <c r="Z861" t="s">
        <v>48</v>
      </c>
    </row>
    <row r="862" spans="1:26">
      <c r="A862" t="s">
        <v>919</v>
      </c>
      <c r="B862">
        <v>44</v>
      </c>
      <c r="C862" t="str">
        <f t="shared" si="65"/>
        <v>36-50</v>
      </c>
      <c r="D862" t="s">
        <v>41</v>
      </c>
      <c r="E862" s="2">
        <v>45204</v>
      </c>
      <c r="F862" s="2" t="str">
        <f t="shared" ca="1" si="66"/>
        <v>No</v>
      </c>
      <c r="G862" s="2" t="str">
        <f t="shared" si="67"/>
        <v>Oct-2023</v>
      </c>
      <c r="H862" s="2">
        <v>45069</v>
      </c>
      <c r="I862">
        <v>13</v>
      </c>
      <c r="J862" t="s">
        <v>63</v>
      </c>
      <c r="K862">
        <v>5</v>
      </c>
      <c r="L862" t="s">
        <v>46</v>
      </c>
      <c r="M862" s="9">
        <v>22824</v>
      </c>
      <c r="N862" t="s">
        <v>67</v>
      </c>
      <c r="O862" t="s">
        <v>26</v>
      </c>
      <c r="P862" t="s">
        <v>27</v>
      </c>
      <c r="Q862" s="2">
        <v>45082</v>
      </c>
      <c r="R862" s="13">
        <f t="shared" si="68"/>
        <v>779.99999999650754</v>
      </c>
      <c r="S862" s="13">
        <f t="shared" si="69"/>
        <v>2556.4285714286962</v>
      </c>
      <c r="T862" s="2">
        <v>45082.541666666664</v>
      </c>
      <c r="U862" t="s">
        <v>55</v>
      </c>
      <c r="V862" t="s">
        <v>29</v>
      </c>
      <c r="W862" t="s">
        <v>47</v>
      </c>
      <c r="X862">
        <v>6</v>
      </c>
      <c r="Y862">
        <v>12</v>
      </c>
      <c r="Z862" t="s">
        <v>48</v>
      </c>
    </row>
    <row r="863" spans="1:26">
      <c r="A863" t="s">
        <v>920</v>
      </c>
      <c r="B863">
        <v>25</v>
      </c>
      <c r="C863" t="str">
        <f t="shared" si="65"/>
        <v>18-35</v>
      </c>
      <c r="D863" t="s">
        <v>45</v>
      </c>
      <c r="E863" s="2">
        <v>45441</v>
      </c>
      <c r="F863" s="2" t="str">
        <f t="shared" ca="1" si="66"/>
        <v>No</v>
      </c>
      <c r="G863" s="2" t="str">
        <f t="shared" si="67"/>
        <v>May-2024</v>
      </c>
      <c r="H863" s="2">
        <v>45510</v>
      </c>
      <c r="I863">
        <v>10</v>
      </c>
      <c r="J863" t="s">
        <v>34</v>
      </c>
      <c r="K863">
        <v>4</v>
      </c>
      <c r="L863" t="s">
        <v>24</v>
      </c>
      <c r="M863" s="9">
        <v>5765</v>
      </c>
      <c r="N863" t="s">
        <v>67</v>
      </c>
      <c r="O863" t="s">
        <v>54</v>
      </c>
      <c r="P863" t="s">
        <v>27</v>
      </c>
      <c r="Q863" s="2">
        <v>45437</v>
      </c>
      <c r="R863" s="13">
        <f t="shared" si="68"/>
        <v>1139.9999999965075</v>
      </c>
      <c r="S863" s="13">
        <f t="shared" si="69"/>
        <v>2569.2086330936759</v>
      </c>
      <c r="T863" s="2">
        <v>45437.791666666664</v>
      </c>
      <c r="U863" t="s">
        <v>37</v>
      </c>
      <c r="V863" t="s">
        <v>29</v>
      </c>
      <c r="W863" t="s">
        <v>43</v>
      </c>
      <c r="X863">
        <v>10</v>
      </c>
      <c r="Y863">
        <v>8</v>
      </c>
      <c r="Z863" t="s">
        <v>68</v>
      </c>
    </row>
    <row r="864" spans="1:26">
      <c r="A864" t="s">
        <v>921</v>
      </c>
      <c r="B864">
        <v>17</v>
      </c>
      <c r="C864" t="str">
        <f t="shared" si="65"/>
        <v>0-17</v>
      </c>
      <c r="D864" t="s">
        <v>62</v>
      </c>
      <c r="E864" s="2">
        <v>45089</v>
      </c>
      <c r="F864" s="2" t="str">
        <f t="shared" ca="1" si="66"/>
        <v>No</v>
      </c>
      <c r="G864" s="2" t="str">
        <f t="shared" si="67"/>
        <v>Jun-2023</v>
      </c>
      <c r="H864" s="2">
        <v>45278</v>
      </c>
      <c r="I864">
        <v>12</v>
      </c>
      <c r="J864" t="s">
        <v>57</v>
      </c>
      <c r="K864">
        <v>5</v>
      </c>
      <c r="L864" t="s">
        <v>24</v>
      </c>
      <c r="M864" s="9">
        <v>36615</v>
      </c>
      <c r="N864" t="s">
        <v>25</v>
      </c>
      <c r="O864" t="s">
        <v>54</v>
      </c>
      <c r="P864" t="s">
        <v>27</v>
      </c>
      <c r="Q864" s="2">
        <v>44938</v>
      </c>
      <c r="R864" s="13">
        <f t="shared" si="68"/>
        <v>45419.999999996508</v>
      </c>
      <c r="S864" s="13">
        <f t="shared" si="69"/>
        <v>2579.5652173914814</v>
      </c>
      <c r="T864" s="2">
        <v>44969.541666666664</v>
      </c>
      <c r="U864" t="s">
        <v>64</v>
      </c>
      <c r="V864" t="s">
        <v>29</v>
      </c>
      <c r="W864" t="s">
        <v>47</v>
      </c>
      <c r="X864">
        <v>7</v>
      </c>
      <c r="Y864">
        <v>10</v>
      </c>
      <c r="Z864" t="s">
        <v>68</v>
      </c>
    </row>
    <row r="865" spans="1:26">
      <c r="A865" t="s">
        <v>922</v>
      </c>
      <c r="B865">
        <v>13</v>
      </c>
      <c r="C865" t="str">
        <f t="shared" si="65"/>
        <v>0-17</v>
      </c>
      <c r="D865" t="s">
        <v>52</v>
      </c>
      <c r="E865" s="2">
        <v>45029</v>
      </c>
      <c r="F865" s="2" t="str">
        <f t="shared" ca="1" si="66"/>
        <v>No</v>
      </c>
      <c r="G865" s="2" t="str">
        <f t="shared" si="67"/>
        <v>Apr-2023</v>
      </c>
      <c r="H865" s="2">
        <v>45042</v>
      </c>
      <c r="I865">
        <v>13</v>
      </c>
      <c r="J865" t="s">
        <v>34</v>
      </c>
      <c r="K865">
        <v>5</v>
      </c>
      <c r="L865" t="s">
        <v>71</v>
      </c>
      <c r="M865" s="9">
        <v>41860</v>
      </c>
      <c r="N865" t="s">
        <v>25</v>
      </c>
      <c r="O865" t="s">
        <v>26</v>
      </c>
      <c r="P865" t="s">
        <v>27</v>
      </c>
      <c r="Q865" s="2">
        <v>45203</v>
      </c>
      <c r="R865" s="13">
        <f t="shared" si="68"/>
        <v>1200.0000000034925</v>
      </c>
      <c r="S865" s="13">
        <f t="shared" si="69"/>
        <v>2266.861313868817</v>
      </c>
      <c r="T865" s="2">
        <v>45203.833333333336</v>
      </c>
      <c r="U865" t="s">
        <v>55</v>
      </c>
      <c r="V865" t="s">
        <v>29</v>
      </c>
      <c r="W865" t="s">
        <v>30</v>
      </c>
      <c r="X865">
        <v>8</v>
      </c>
      <c r="Y865">
        <v>8</v>
      </c>
      <c r="Z865" t="s">
        <v>31</v>
      </c>
    </row>
    <row r="866" spans="1:26">
      <c r="A866" t="s">
        <v>923</v>
      </c>
      <c r="B866">
        <v>84</v>
      </c>
      <c r="C866" t="str">
        <f t="shared" si="65"/>
        <v>66+</v>
      </c>
      <c r="D866" t="s">
        <v>22</v>
      </c>
      <c r="E866" s="2">
        <v>45377</v>
      </c>
      <c r="F866" s="2" t="str">
        <f t="shared" ca="1" si="66"/>
        <v>No</v>
      </c>
      <c r="G866" s="2" t="str">
        <f t="shared" si="67"/>
        <v>Mar-2024</v>
      </c>
      <c r="H866" s="2">
        <v>45295</v>
      </c>
      <c r="I866">
        <v>6</v>
      </c>
      <c r="J866" t="s">
        <v>57</v>
      </c>
      <c r="K866">
        <v>5</v>
      </c>
      <c r="L866" t="s">
        <v>46</v>
      </c>
      <c r="M866" s="9">
        <v>17975</v>
      </c>
      <c r="N866" t="s">
        <v>67</v>
      </c>
      <c r="O866" t="s">
        <v>26</v>
      </c>
      <c r="P866" t="s">
        <v>27</v>
      </c>
      <c r="Q866" s="2">
        <v>45375</v>
      </c>
      <c r="R866" s="13">
        <f t="shared" si="68"/>
        <v>2880</v>
      </c>
      <c r="S866" s="13">
        <f t="shared" si="69"/>
        <v>2274.7058823531211</v>
      </c>
      <c r="T866" s="2">
        <v>45377</v>
      </c>
      <c r="U866" t="s">
        <v>64</v>
      </c>
      <c r="V866" t="s">
        <v>29</v>
      </c>
      <c r="W866" t="s">
        <v>30</v>
      </c>
      <c r="X866">
        <v>8</v>
      </c>
      <c r="Y866">
        <v>12</v>
      </c>
      <c r="Z866" t="s">
        <v>31</v>
      </c>
    </row>
    <row r="867" spans="1:26">
      <c r="A867" t="s">
        <v>924</v>
      </c>
      <c r="B867">
        <v>25</v>
      </c>
      <c r="C867" t="str">
        <f t="shared" si="65"/>
        <v>18-35</v>
      </c>
      <c r="D867" t="s">
        <v>33</v>
      </c>
      <c r="E867" s="2">
        <v>45029</v>
      </c>
      <c r="F867" s="2" t="str">
        <f t="shared" ca="1" si="66"/>
        <v>No</v>
      </c>
      <c r="G867" s="2" t="str">
        <f t="shared" si="67"/>
        <v>Apr-2023</v>
      </c>
      <c r="H867" s="2">
        <v>45032</v>
      </c>
      <c r="I867">
        <v>3</v>
      </c>
      <c r="J867" t="s">
        <v>40</v>
      </c>
      <c r="K867">
        <v>4</v>
      </c>
      <c r="L867" t="s">
        <v>71</v>
      </c>
      <c r="M867" s="9">
        <v>14341</v>
      </c>
      <c r="N867" t="s">
        <v>25</v>
      </c>
      <c r="O867" t="s">
        <v>54</v>
      </c>
      <c r="P867" t="s">
        <v>41</v>
      </c>
      <c r="Q867" s="2">
        <v>45264</v>
      </c>
      <c r="R867" s="13">
        <f t="shared" si="68"/>
        <v>-337440.00000000349</v>
      </c>
      <c r="S867" s="13">
        <f t="shared" si="69"/>
        <v>2270.2222222224032</v>
      </c>
      <c r="T867" s="2">
        <v>45029.666666666664</v>
      </c>
      <c r="U867" t="s">
        <v>28</v>
      </c>
      <c r="V867" t="s">
        <v>38</v>
      </c>
      <c r="W867" t="s">
        <v>43</v>
      </c>
      <c r="X867">
        <v>11</v>
      </c>
      <c r="Y867">
        <v>12</v>
      </c>
      <c r="Z867" t="s">
        <v>31</v>
      </c>
    </row>
    <row r="868" spans="1:26">
      <c r="A868" t="s">
        <v>925</v>
      </c>
      <c r="B868">
        <v>68</v>
      </c>
      <c r="C868" t="str">
        <f t="shared" si="65"/>
        <v>66+</v>
      </c>
      <c r="D868" t="s">
        <v>52</v>
      </c>
      <c r="E868" s="2">
        <v>45465</v>
      </c>
      <c r="F868" s="2" t="str">
        <f t="shared" ca="1" si="66"/>
        <v>No</v>
      </c>
      <c r="G868" s="2" t="str">
        <f t="shared" si="67"/>
        <v>Jun-2024</v>
      </c>
      <c r="H868" s="2">
        <v>45466</v>
      </c>
      <c r="I868">
        <v>1</v>
      </c>
      <c r="J868" t="s">
        <v>34</v>
      </c>
      <c r="K868">
        <v>5</v>
      </c>
      <c r="L868" t="s">
        <v>71</v>
      </c>
      <c r="M868" s="9">
        <v>33141</v>
      </c>
      <c r="N868" t="s">
        <v>25</v>
      </c>
      <c r="O868" t="s">
        <v>26</v>
      </c>
      <c r="P868" t="s">
        <v>27</v>
      </c>
      <c r="Q868" s="2">
        <v>45464</v>
      </c>
      <c r="R868" s="13">
        <f t="shared" si="68"/>
        <v>959.99999999650754</v>
      </c>
      <c r="S868" s="13">
        <f t="shared" si="69"/>
        <v>4805.3731343285663</v>
      </c>
      <c r="T868" s="2">
        <v>45464.666666666664</v>
      </c>
      <c r="U868" t="s">
        <v>28</v>
      </c>
      <c r="V868" t="s">
        <v>29</v>
      </c>
      <c r="W868" t="s">
        <v>43</v>
      </c>
      <c r="X868">
        <v>4</v>
      </c>
      <c r="Y868">
        <v>10</v>
      </c>
      <c r="Z868" t="s">
        <v>31</v>
      </c>
    </row>
    <row r="869" spans="1:26">
      <c r="A869" t="s">
        <v>926</v>
      </c>
      <c r="B869">
        <v>10</v>
      </c>
      <c r="C869" t="str">
        <f t="shared" si="65"/>
        <v>0-17</v>
      </c>
      <c r="D869" t="s">
        <v>45</v>
      </c>
      <c r="E869" s="2">
        <v>45630</v>
      </c>
      <c r="F869" s="2" t="str">
        <f t="shared" ca="1" si="66"/>
        <v>No</v>
      </c>
      <c r="G869" s="2" t="str">
        <f t="shared" si="67"/>
        <v>Dec-2024</v>
      </c>
      <c r="H869" s="2">
        <v>45400</v>
      </c>
      <c r="I869">
        <v>6</v>
      </c>
      <c r="J869" t="s">
        <v>57</v>
      </c>
      <c r="K869">
        <v>4</v>
      </c>
      <c r="L869" t="s">
        <v>24</v>
      </c>
      <c r="M869" s="9">
        <v>17334</v>
      </c>
      <c r="N869" t="s">
        <v>60</v>
      </c>
      <c r="O869" t="s">
        <v>26</v>
      </c>
      <c r="P869" t="s">
        <v>27</v>
      </c>
      <c r="Q869" s="2">
        <v>45569</v>
      </c>
      <c r="R869" s="13">
        <f t="shared" si="68"/>
        <v>45000</v>
      </c>
      <c r="S869" s="13">
        <f t="shared" si="69"/>
        <v>4834.2857142859502</v>
      </c>
      <c r="T869" s="2">
        <v>45600.25</v>
      </c>
      <c r="U869" t="s">
        <v>28</v>
      </c>
      <c r="V869" t="s">
        <v>29</v>
      </c>
      <c r="W869" t="s">
        <v>47</v>
      </c>
      <c r="X869">
        <v>10</v>
      </c>
      <c r="Y869">
        <v>12</v>
      </c>
      <c r="Z869" t="s">
        <v>31</v>
      </c>
    </row>
    <row r="870" spans="1:26">
      <c r="A870" t="s">
        <v>927</v>
      </c>
      <c r="B870">
        <v>67</v>
      </c>
      <c r="C870" t="str">
        <f t="shared" si="65"/>
        <v>66+</v>
      </c>
      <c r="D870" t="s">
        <v>33</v>
      </c>
      <c r="E870" s="2">
        <v>44942</v>
      </c>
      <c r="F870" s="2" t="str">
        <f t="shared" ca="1" si="66"/>
        <v>No</v>
      </c>
      <c r="G870" s="2" t="str">
        <f t="shared" si="67"/>
        <v>Jan-2023</v>
      </c>
      <c r="H870" s="2">
        <v>44951</v>
      </c>
      <c r="I870">
        <v>9</v>
      </c>
      <c r="J870" t="s">
        <v>34</v>
      </c>
      <c r="K870">
        <v>2</v>
      </c>
      <c r="L870" t="s">
        <v>71</v>
      </c>
      <c r="M870" s="9">
        <v>20835</v>
      </c>
      <c r="N870" t="s">
        <v>53</v>
      </c>
      <c r="O870" t="s">
        <v>54</v>
      </c>
      <c r="P870" t="s">
        <v>27</v>
      </c>
      <c r="Q870" s="2">
        <v>44941</v>
      </c>
      <c r="R870" s="13">
        <f t="shared" si="68"/>
        <v>1440</v>
      </c>
      <c r="S870" s="13">
        <f t="shared" si="69"/>
        <v>4530.0000000002383</v>
      </c>
      <c r="T870" s="2">
        <v>44942</v>
      </c>
      <c r="U870" t="s">
        <v>37</v>
      </c>
      <c r="V870" t="s">
        <v>29</v>
      </c>
      <c r="W870" t="s">
        <v>47</v>
      </c>
      <c r="X870">
        <v>11</v>
      </c>
      <c r="Y870">
        <v>12</v>
      </c>
      <c r="Z870" t="s">
        <v>68</v>
      </c>
    </row>
    <row r="871" spans="1:26">
      <c r="A871" t="s">
        <v>928</v>
      </c>
      <c r="B871">
        <v>18</v>
      </c>
      <c r="C871" t="str">
        <f t="shared" si="65"/>
        <v>18-35</v>
      </c>
      <c r="D871" t="s">
        <v>22</v>
      </c>
      <c r="E871" s="2">
        <v>45074</v>
      </c>
      <c r="F871" s="2" t="str">
        <f t="shared" ca="1" si="66"/>
        <v>No</v>
      </c>
      <c r="G871" s="2" t="str">
        <f t="shared" si="67"/>
        <v>May-2023</v>
      </c>
      <c r="H871" s="2">
        <v>44991</v>
      </c>
      <c r="I871">
        <v>6</v>
      </c>
      <c r="J871" t="s">
        <v>34</v>
      </c>
      <c r="K871">
        <v>1</v>
      </c>
      <c r="L871" t="s">
        <v>24</v>
      </c>
      <c r="M871" s="9">
        <v>31548</v>
      </c>
      <c r="N871" t="s">
        <v>67</v>
      </c>
      <c r="O871" t="s">
        <v>26</v>
      </c>
      <c r="P871" t="s">
        <v>27</v>
      </c>
      <c r="Q871" s="2">
        <v>45071</v>
      </c>
      <c r="R871" s="13">
        <f t="shared" si="68"/>
        <v>2280.0000000034925</v>
      </c>
      <c r="S871" s="13">
        <f t="shared" si="69"/>
        <v>4553.5877862597818</v>
      </c>
      <c r="T871" s="2">
        <v>45072.583333333336</v>
      </c>
      <c r="U871" t="s">
        <v>28</v>
      </c>
      <c r="V871" t="s">
        <v>29</v>
      </c>
      <c r="W871" t="s">
        <v>43</v>
      </c>
      <c r="X871">
        <v>11</v>
      </c>
      <c r="Y871">
        <v>10</v>
      </c>
      <c r="Z871" t="s">
        <v>68</v>
      </c>
    </row>
    <row r="872" spans="1:26">
      <c r="A872" t="s">
        <v>929</v>
      </c>
      <c r="B872">
        <v>86</v>
      </c>
      <c r="C872" t="str">
        <f t="shared" si="65"/>
        <v>66+</v>
      </c>
      <c r="D872" t="s">
        <v>22</v>
      </c>
      <c r="E872" s="2">
        <v>45346</v>
      </c>
      <c r="F872" s="2" t="str">
        <f t="shared" ca="1" si="66"/>
        <v>No</v>
      </c>
      <c r="G872" s="2" t="str">
        <f t="shared" si="67"/>
        <v>Feb-2024</v>
      </c>
      <c r="H872" s="2">
        <v>45538</v>
      </c>
      <c r="I872">
        <v>14</v>
      </c>
      <c r="J872" t="s">
        <v>57</v>
      </c>
      <c r="K872">
        <v>2</v>
      </c>
      <c r="L872" t="s">
        <v>35</v>
      </c>
      <c r="M872" s="9">
        <v>40434</v>
      </c>
      <c r="N872" t="s">
        <v>60</v>
      </c>
      <c r="O872" t="s">
        <v>54</v>
      </c>
      <c r="P872" t="s">
        <v>41</v>
      </c>
      <c r="Q872" s="2">
        <v>45342</v>
      </c>
      <c r="R872" s="13">
        <f t="shared" si="68"/>
        <v>1920.0000000034925</v>
      </c>
      <c r="S872" s="13">
        <f t="shared" si="69"/>
        <v>4571.0769230771384</v>
      </c>
      <c r="T872" s="2">
        <v>45343.333333333336</v>
      </c>
      <c r="U872" t="s">
        <v>37</v>
      </c>
      <c r="V872" t="s">
        <v>29</v>
      </c>
      <c r="W872" t="s">
        <v>47</v>
      </c>
      <c r="X872">
        <v>5</v>
      </c>
      <c r="Y872">
        <v>10</v>
      </c>
      <c r="Z872" t="s">
        <v>48</v>
      </c>
    </row>
    <row r="873" spans="1:26">
      <c r="A873" t="s">
        <v>930</v>
      </c>
      <c r="B873">
        <v>34</v>
      </c>
      <c r="C873" t="str">
        <f t="shared" si="65"/>
        <v>18-35</v>
      </c>
      <c r="D873" t="s">
        <v>62</v>
      </c>
      <c r="E873" s="2">
        <v>45144</v>
      </c>
      <c r="F873" s="2" t="str">
        <f t="shared" ca="1" si="66"/>
        <v>No</v>
      </c>
      <c r="G873" s="2" t="str">
        <f t="shared" si="67"/>
        <v>Aug-2023</v>
      </c>
      <c r="H873" s="2">
        <v>45096</v>
      </c>
      <c r="I873">
        <v>11</v>
      </c>
      <c r="J873" t="s">
        <v>57</v>
      </c>
      <c r="K873">
        <v>1</v>
      </c>
      <c r="L873" t="s">
        <v>46</v>
      </c>
      <c r="M873" s="9">
        <v>30039</v>
      </c>
      <c r="N873" t="s">
        <v>53</v>
      </c>
      <c r="O873" t="s">
        <v>54</v>
      </c>
      <c r="P873" t="s">
        <v>27</v>
      </c>
      <c r="Q873" s="2">
        <v>45113</v>
      </c>
      <c r="R873" s="13">
        <f t="shared" si="68"/>
        <v>779.99999999650754</v>
      </c>
      <c r="S873" s="13">
        <f t="shared" si="69"/>
        <v>4591.6279069769334</v>
      </c>
      <c r="T873" s="2">
        <v>45113.541666666664</v>
      </c>
      <c r="U873" t="s">
        <v>28</v>
      </c>
      <c r="V873" t="s">
        <v>38</v>
      </c>
      <c r="W873" t="s">
        <v>30</v>
      </c>
      <c r="X873">
        <v>4</v>
      </c>
      <c r="Y873">
        <v>8</v>
      </c>
      <c r="Z873" t="s">
        <v>48</v>
      </c>
    </row>
    <row r="874" spans="1:26">
      <c r="A874" t="s">
        <v>931</v>
      </c>
      <c r="B874">
        <v>8</v>
      </c>
      <c r="C874" t="str">
        <f t="shared" si="65"/>
        <v>0-17</v>
      </c>
      <c r="D874" t="s">
        <v>33</v>
      </c>
      <c r="E874" s="2">
        <v>45003</v>
      </c>
      <c r="F874" s="2" t="str">
        <f t="shared" ca="1" si="66"/>
        <v>No</v>
      </c>
      <c r="G874" s="2" t="str">
        <f t="shared" si="67"/>
        <v>Mar-2023</v>
      </c>
      <c r="H874" s="2">
        <v>45006</v>
      </c>
      <c r="I874">
        <v>3</v>
      </c>
      <c r="J874" t="s">
        <v>50</v>
      </c>
      <c r="K874">
        <v>2</v>
      </c>
      <c r="L874" t="s">
        <v>71</v>
      </c>
      <c r="M874" s="9">
        <v>37530</v>
      </c>
      <c r="N874" t="s">
        <v>25</v>
      </c>
      <c r="O874" t="s">
        <v>26</v>
      </c>
      <c r="P874" t="s">
        <v>27</v>
      </c>
      <c r="Q874" s="2">
        <v>45000</v>
      </c>
      <c r="R874" s="13">
        <f t="shared" si="68"/>
        <v>2820.0000000034925</v>
      </c>
      <c r="S874" s="13">
        <f t="shared" si="69"/>
        <v>4621.4062500002183</v>
      </c>
      <c r="T874" s="2">
        <v>45001.958333333336</v>
      </c>
      <c r="U874" t="s">
        <v>64</v>
      </c>
      <c r="V874" t="s">
        <v>29</v>
      </c>
      <c r="W874" t="s">
        <v>30</v>
      </c>
      <c r="X874">
        <v>9</v>
      </c>
      <c r="Y874">
        <v>10</v>
      </c>
      <c r="Z874" t="s">
        <v>48</v>
      </c>
    </row>
    <row r="875" spans="1:26">
      <c r="A875" t="s">
        <v>932</v>
      </c>
      <c r="B875">
        <v>40</v>
      </c>
      <c r="C875" t="str">
        <f t="shared" si="65"/>
        <v>36-50</v>
      </c>
      <c r="D875" t="s">
        <v>62</v>
      </c>
      <c r="E875" s="2">
        <v>45407</v>
      </c>
      <c r="F875" s="2" t="str">
        <f t="shared" ca="1" si="66"/>
        <v>No</v>
      </c>
      <c r="G875" s="2" t="str">
        <f t="shared" si="67"/>
        <v>Apr-2024</v>
      </c>
      <c r="H875" s="2">
        <v>45540</v>
      </c>
      <c r="I875">
        <v>14</v>
      </c>
      <c r="J875" t="s">
        <v>34</v>
      </c>
      <c r="K875">
        <v>1</v>
      </c>
      <c r="L875" t="s">
        <v>24</v>
      </c>
      <c r="M875" s="9">
        <v>43736</v>
      </c>
      <c r="N875" t="s">
        <v>25</v>
      </c>
      <c r="O875" t="s">
        <v>26</v>
      </c>
      <c r="P875" t="s">
        <v>41</v>
      </c>
      <c r="Q875" s="2">
        <v>45403</v>
      </c>
      <c r="R875" s="13">
        <f t="shared" si="68"/>
        <v>2100.0000000034925</v>
      </c>
      <c r="S875" s="13">
        <f t="shared" si="69"/>
        <v>4635.5905511812953</v>
      </c>
      <c r="T875" s="2">
        <v>45404.458333333336</v>
      </c>
      <c r="U875" t="s">
        <v>55</v>
      </c>
      <c r="V875" t="s">
        <v>29</v>
      </c>
      <c r="W875" t="s">
        <v>43</v>
      </c>
      <c r="X875">
        <v>6</v>
      </c>
      <c r="Y875">
        <v>12</v>
      </c>
      <c r="Z875" t="s">
        <v>48</v>
      </c>
    </row>
    <row r="876" spans="1:26">
      <c r="A876" t="s">
        <v>933</v>
      </c>
      <c r="B876">
        <v>83</v>
      </c>
      <c r="C876" t="str">
        <f t="shared" si="65"/>
        <v>66+</v>
      </c>
      <c r="D876" t="s">
        <v>52</v>
      </c>
      <c r="E876" s="2">
        <v>45198</v>
      </c>
      <c r="F876" s="2" t="str">
        <f t="shared" ca="1" si="66"/>
        <v>No</v>
      </c>
      <c r="G876" s="2" t="str">
        <f t="shared" si="67"/>
        <v>Sep-2023</v>
      </c>
      <c r="H876" s="2">
        <v>45270</v>
      </c>
      <c r="I876">
        <v>13</v>
      </c>
      <c r="J876" t="s">
        <v>63</v>
      </c>
      <c r="K876">
        <v>1</v>
      </c>
      <c r="L876" t="s">
        <v>66</v>
      </c>
      <c r="M876" s="9">
        <v>45409</v>
      </c>
      <c r="N876" t="s">
        <v>60</v>
      </c>
      <c r="O876" t="s">
        <v>54</v>
      </c>
      <c r="P876" t="s">
        <v>27</v>
      </c>
      <c r="Q876" s="2">
        <v>45193</v>
      </c>
      <c r="R876" s="13">
        <f t="shared" si="68"/>
        <v>959.99999999650754</v>
      </c>
      <c r="S876" s="13">
        <f t="shared" si="69"/>
        <v>4655.7142857144518</v>
      </c>
      <c r="T876" s="2">
        <v>45193.666666666664</v>
      </c>
      <c r="U876" t="s">
        <v>55</v>
      </c>
      <c r="V876" t="s">
        <v>29</v>
      </c>
      <c r="W876" t="s">
        <v>47</v>
      </c>
      <c r="X876">
        <v>7</v>
      </c>
      <c r="Y876">
        <v>10</v>
      </c>
      <c r="Z876" t="s">
        <v>68</v>
      </c>
    </row>
    <row r="877" spans="1:26">
      <c r="A877" t="s">
        <v>934</v>
      </c>
      <c r="B877">
        <v>42</v>
      </c>
      <c r="C877" t="str">
        <f t="shared" si="65"/>
        <v>36-50</v>
      </c>
      <c r="D877" t="s">
        <v>41</v>
      </c>
      <c r="E877" s="2">
        <v>45273</v>
      </c>
      <c r="F877" s="2" t="str">
        <f t="shared" ca="1" si="66"/>
        <v>No</v>
      </c>
      <c r="G877" s="2" t="str">
        <f t="shared" si="67"/>
        <v>Dec-2023</v>
      </c>
      <c r="H877" s="2">
        <v>45284</v>
      </c>
      <c r="I877">
        <v>11</v>
      </c>
      <c r="J877" t="s">
        <v>34</v>
      </c>
      <c r="K877">
        <v>3</v>
      </c>
      <c r="L877" t="s">
        <v>71</v>
      </c>
      <c r="M877" s="9">
        <v>23565</v>
      </c>
      <c r="N877" t="s">
        <v>25</v>
      </c>
      <c r="O877" t="s">
        <v>54</v>
      </c>
      <c r="P877" t="s">
        <v>41</v>
      </c>
      <c r="Q877" s="2">
        <v>45150</v>
      </c>
      <c r="R877" s="13">
        <f t="shared" si="68"/>
        <v>599.99999999650754</v>
      </c>
      <c r="S877" s="13">
        <f t="shared" si="69"/>
        <v>4685.2800000001953</v>
      </c>
      <c r="T877" s="2">
        <v>45150.416666666664</v>
      </c>
      <c r="U877" t="s">
        <v>28</v>
      </c>
      <c r="V877" t="s">
        <v>29</v>
      </c>
      <c r="W877" t="s">
        <v>30</v>
      </c>
      <c r="X877">
        <v>10</v>
      </c>
      <c r="Y877">
        <v>12</v>
      </c>
      <c r="Z877" t="s">
        <v>68</v>
      </c>
    </row>
    <row r="878" spans="1:26">
      <c r="A878" t="s">
        <v>935</v>
      </c>
      <c r="B878">
        <v>41</v>
      </c>
      <c r="C878" t="str">
        <f t="shared" si="65"/>
        <v>36-50</v>
      </c>
      <c r="D878" t="s">
        <v>41</v>
      </c>
      <c r="E878" s="2">
        <v>45628</v>
      </c>
      <c r="F878" s="2" t="str">
        <f t="shared" ca="1" si="66"/>
        <v>No</v>
      </c>
      <c r="G878" s="2" t="str">
        <f t="shared" si="67"/>
        <v>Dec-2024</v>
      </c>
      <c r="H878" s="2">
        <v>45342</v>
      </c>
      <c r="I878">
        <v>8</v>
      </c>
      <c r="J878" t="s">
        <v>34</v>
      </c>
      <c r="K878">
        <v>1</v>
      </c>
      <c r="L878" t="s">
        <v>35</v>
      </c>
      <c r="M878" s="9">
        <v>14834</v>
      </c>
      <c r="N878" t="s">
        <v>36</v>
      </c>
      <c r="O878" t="s">
        <v>54</v>
      </c>
      <c r="P878" t="s">
        <v>27</v>
      </c>
      <c r="Q878" s="2">
        <v>45567</v>
      </c>
      <c r="R878" s="13">
        <f t="shared" si="68"/>
        <v>59.99999999650754</v>
      </c>
      <c r="S878" s="13">
        <f t="shared" si="69"/>
        <v>4718.2258064518383</v>
      </c>
      <c r="T878" s="2">
        <v>45567.041666666664</v>
      </c>
      <c r="U878" t="s">
        <v>55</v>
      </c>
      <c r="V878" t="s">
        <v>29</v>
      </c>
      <c r="W878" t="s">
        <v>43</v>
      </c>
      <c r="X878">
        <v>8</v>
      </c>
      <c r="Y878">
        <v>8</v>
      </c>
      <c r="Z878" t="s">
        <v>68</v>
      </c>
    </row>
    <row r="879" spans="1:26">
      <c r="A879" t="s">
        <v>936</v>
      </c>
      <c r="B879">
        <v>6</v>
      </c>
      <c r="C879" t="str">
        <f t="shared" si="65"/>
        <v>0-17</v>
      </c>
      <c r="D879" t="s">
        <v>41</v>
      </c>
      <c r="E879" s="2">
        <v>45009</v>
      </c>
      <c r="F879" s="2" t="str">
        <f t="shared" ca="1" si="66"/>
        <v>No</v>
      </c>
      <c r="G879" s="2" t="str">
        <f t="shared" si="67"/>
        <v>Mar-2023</v>
      </c>
      <c r="H879" s="2">
        <v>45050</v>
      </c>
      <c r="I879">
        <v>12</v>
      </c>
      <c r="J879" t="s">
        <v>57</v>
      </c>
      <c r="K879">
        <v>1</v>
      </c>
      <c r="L879" t="s">
        <v>35</v>
      </c>
      <c r="M879" s="9">
        <v>41656</v>
      </c>
      <c r="N879" t="s">
        <v>60</v>
      </c>
      <c r="O879" t="s">
        <v>26</v>
      </c>
      <c r="P879" t="s">
        <v>27</v>
      </c>
      <c r="Q879" s="2">
        <v>45007</v>
      </c>
      <c r="R879" s="13">
        <f t="shared" si="68"/>
        <v>1620</v>
      </c>
      <c r="S879" s="13">
        <f t="shared" si="69"/>
        <v>4756.0975609758652</v>
      </c>
      <c r="T879" s="2">
        <v>45008.125</v>
      </c>
      <c r="U879" t="s">
        <v>28</v>
      </c>
      <c r="V879" t="s">
        <v>29</v>
      </c>
      <c r="W879" t="s">
        <v>47</v>
      </c>
      <c r="X879">
        <v>5</v>
      </c>
      <c r="Y879">
        <v>10</v>
      </c>
      <c r="Z879" t="s">
        <v>31</v>
      </c>
    </row>
    <row r="880" spans="1:26">
      <c r="A880" t="s">
        <v>937</v>
      </c>
      <c r="B880">
        <v>52</v>
      </c>
      <c r="C880" t="str">
        <f t="shared" si="65"/>
        <v>51-65</v>
      </c>
      <c r="D880" t="s">
        <v>33</v>
      </c>
      <c r="E880" s="2">
        <v>44997</v>
      </c>
      <c r="F880" s="2" t="str">
        <f t="shared" ca="1" si="66"/>
        <v>No</v>
      </c>
      <c r="G880" s="2" t="str">
        <f t="shared" si="67"/>
        <v>Mar-2023</v>
      </c>
      <c r="H880" s="2">
        <v>45242</v>
      </c>
      <c r="I880">
        <v>8</v>
      </c>
      <c r="J880" t="s">
        <v>34</v>
      </c>
      <c r="K880">
        <v>3</v>
      </c>
      <c r="L880" t="s">
        <v>66</v>
      </c>
      <c r="M880" s="9">
        <v>5840</v>
      </c>
      <c r="N880" t="s">
        <v>53</v>
      </c>
      <c r="O880" t="s">
        <v>26</v>
      </c>
      <c r="P880" t="s">
        <v>27</v>
      </c>
      <c r="Q880" s="2">
        <v>45260</v>
      </c>
      <c r="R880" s="13">
        <f t="shared" si="68"/>
        <v>120.00000000349246</v>
      </c>
      <c r="S880" s="13">
        <f t="shared" si="69"/>
        <v>4781.8032786887825</v>
      </c>
      <c r="T880" s="2">
        <v>45260.083333333336</v>
      </c>
      <c r="U880" t="s">
        <v>28</v>
      </c>
      <c r="V880" t="s">
        <v>29</v>
      </c>
      <c r="W880" t="s">
        <v>30</v>
      </c>
      <c r="X880">
        <v>8</v>
      </c>
      <c r="Y880">
        <v>12</v>
      </c>
      <c r="Z880" t="s">
        <v>31</v>
      </c>
    </row>
    <row r="881" spans="1:26">
      <c r="A881" t="s">
        <v>938</v>
      </c>
      <c r="B881">
        <v>26</v>
      </c>
      <c r="C881" t="str">
        <f t="shared" si="65"/>
        <v>18-35</v>
      </c>
      <c r="D881" t="s">
        <v>41</v>
      </c>
      <c r="E881" s="2">
        <v>45316</v>
      </c>
      <c r="F881" s="2" t="str">
        <f t="shared" ca="1" si="66"/>
        <v>No</v>
      </c>
      <c r="G881" s="2" t="str">
        <f t="shared" si="67"/>
        <v>Jan-2024</v>
      </c>
      <c r="H881" s="2">
        <v>45414</v>
      </c>
      <c r="I881">
        <v>11</v>
      </c>
      <c r="J881" t="s">
        <v>23</v>
      </c>
      <c r="K881">
        <v>5</v>
      </c>
      <c r="L881" t="s">
        <v>24</v>
      </c>
      <c r="M881" s="9">
        <v>18873</v>
      </c>
      <c r="N881" t="s">
        <v>60</v>
      </c>
      <c r="O881" t="s">
        <v>26</v>
      </c>
      <c r="P881" t="s">
        <v>27</v>
      </c>
      <c r="Q881" s="2">
        <v>45311</v>
      </c>
      <c r="R881" s="13">
        <f t="shared" si="68"/>
        <v>900</v>
      </c>
      <c r="S881" s="13">
        <f t="shared" si="69"/>
        <v>4820.3305785126277</v>
      </c>
      <c r="T881" s="2">
        <v>45311.625</v>
      </c>
      <c r="U881" t="s">
        <v>42</v>
      </c>
      <c r="V881" t="s">
        <v>29</v>
      </c>
      <c r="W881" t="s">
        <v>47</v>
      </c>
      <c r="X881">
        <v>10</v>
      </c>
      <c r="Y881">
        <v>10</v>
      </c>
      <c r="Z881" t="s">
        <v>48</v>
      </c>
    </row>
    <row r="882" spans="1:26">
      <c r="A882" t="s">
        <v>939</v>
      </c>
      <c r="B882">
        <v>64</v>
      </c>
      <c r="C882" t="str">
        <f t="shared" si="65"/>
        <v>51-65</v>
      </c>
      <c r="D882" t="s">
        <v>52</v>
      </c>
      <c r="E882" s="2">
        <v>45251</v>
      </c>
      <c r="F882" s="2" t="str">
        <f t="shared" ca="1" si="66"/>
        <v>No</v>
      </c>
      <c r="G882" s="2" t="str">
        <f t="shared" si="67"/>
        <v>Nov-2023</v>
      </c>
      <c r="H882" s="2">
        <v>45254</v>
      </c>
      <c r="I882">
        <v>3</v>
      </c>
      <c r="J882" t="s">
        <v>34</v>
      </c>
      <c r="K882">
        <v>5</v>
      </c>
      <c r="L882" t="s">
        <v>71</v>
      </c>
      <c r="M882" s="9">
        <v>36568</v>
      </c>
      <c r="N882" t="s">
        <v>67</v>
      </c>
      <c r="O882" t="s">
        <v>26</v>
      </c>
      <c r="P882" t="s">
        <v>27</v>
      </c>
      <c r="Q882" s="2">
        <v>45246</v>
      </c>
      <c r="R882" s="13">
        <f t="shared" si="68"/>
        <v>2100.0000000034925</v>
      </c>
      <c r="S882" s="13">
        <f t="shared" si="69"/>
        <v>4853.0000000002328</v>
      </c>
      <c r="T882" s="2">
        <v>45247.458333333336</v>
      </c>
      <c r="U882" t="s">
        <v>42</v>
      </c>
      <c r="V882" t="s">
        <v>29</v>
      </c>
      <c r="W882" t="s">
        <v>47</v>
      </c>
      <c r="X882">
        <v>9</v>
      </c>
      <c r="Y882">
        <v>10</v>
      </c>
      <c r="Z882" t="s">
        <v>31</v>
      </c>
    </row>
    <row r="883" spans="1:26">
      <c r="A883" t="s">
        <v>940</v>
      </c>
      <c r="B883">
        <v>59</v>
      </c>
      <c r="C883" t="str">
        <f t="shared" si="65"/>
        <v>51-65</v>
      </c>
      <c r="D883" t="s">
        <v>62</v>
      </c>
      <c r="E883" s="2">
        <v>45426</v>
      </c>
      <c r="F883" s="2" t="str">
        <f t="shared" ca="1" si="66"/>
        <v>No</v>
      </c>
      <c r="G883" s="2" t="str">
        <f t="shared" si="67"/>
        <v>May-2024</v>
      </c>
      <c r="H883" s="2">
        <v>45439</v>
      </c>
      <c r="I883">
        <v>13</v>
      </c>
      <c r="J883" t="s">
        <v>23</v>
      </c>
      <c r="K883">
        <v>3</v>
      </c>
      <c r="L883" t="s">
        <v>24</v>
      </c>
      <c r="M883" s="9">
        <v>15846</v>
      </c>
      <c r="N883" t="s">
        <v>60</v>
      </c>
      <c r="O883" t="s">
        <v>54</v>
      </c>
      <c r="P883" t="s">
        <v>27</v>
      </c>
      <c r="Q883" s="2">
        <v>45540</v>
      </c>
      <c r="R883" s="13">
        <f t="shared" si="68"/>
        <v>1380.0000000034925</v>
      </c>
      <c r="S883" s="13">
        <f t="shared" si="69"/>
        <v>4876.1344537817176</v>
      </c>
      <c r="T883" s="2">
        <v>45540.958333333336</v>
      </c>
      <c r="U883" t="s">
        <v>42</v>
      </c>
      <c r="V883" t="s">
        <v>29</v>
      </c>
      <c r="W883" t="s">
        <v>47</v>
      </c>
      <c r="X883">
        <v>4</v>
      </c>
      <c r="Y883">
        <v>10</v>
      </c>
      <c r="Z883" t="s">
        <v>68</v>
      </c>
    </row>
    <row r="884" spans="1:26">
      <c r="A884" t="s">
        <v>941</v>
      </c>
      <c r="B884">
        <v>56</v>
      </c>
      <c r="C884" t="str">
        <f t="shared" si="65"/>
        <v>51-65</v>
      </c>
      <c r="D884" t="s">
        <v>33</v>
      </c>
      <c r="E884" s="2">
        <v>45079</v>
      </c>
      <c r="F884" s="2" t="str">
        <f t="shared" ca="1" si="66"/>
        <v>No</v>
      </c>
      <c r="G884" s="2" t="str">
        <f t="shared" si="67"/>
        <v>Jun-2023</v>
      </c>
      <c r="H884" s="2">
        <v>45171</v>
      </c>
      <c r="I884">
        <v>3</v>
      </c>
      <c r="J884" t="s">
        <v>63</v>
      </c>
      <c r="K884">
        <v>4</v>
      </c>
      <c r="L884" t="s">
        <v>35</v>
      </c>
      <c r="M884" s="9">
        <v>10899</v>
      </c>
      <c r="N884" t="s">
        <v>25</v>
      </c>
      <c r="O884" t="s">
        <v>54</v>
      </c>
      <c r="P884" t="s">
        <v>27</v>
      </c>
      <c r="Q884" s="2">
        <v>44987</v>
      </c>
      <c r="R884" s="13">
        <f t="shared" si="68"/>
        <v>45660.000000003492</v>
      </c>
      <c r="S884" s="13">
        <f t="shared" si="69"/>
        <v>4905.7627118645842</v>
      </c>
      <c r="T884" s="2">
        <v>45018.708333333336</v>
      </c>
      <c r="U884" t="s">
        <v>37</v>
      </c>
      <c r="V884" t="s">
        <v>29</v>
      </c>
      <c r="W884" t="s">
        <v>43</v>
      </c>
      <c r="X884">
        <v>10</v>
      </c>
      <c r="Y884">
        <v>10</v>
      </c>
      <c r="Z884" t="s">
        <v>48</v>
      </c>
    </row>
    <row r="885" spans="1:26">
      <c r="A885" t="s">
        <v>942</v>
      </c>
      <c r="B885">
        <v>59</v>
      </c>
      <c r="C885" t="str">
        <f t="shared" si="65"/>
        <v>51-65</v>
      </c>
      <c r="D885" t="s">
        <v>62</v>
      </c>
      <c r="E885" s="2">
        <v>45263</v>
      </c>
      <c r="F885" s="2" t="str">
        <f t="shared" ca="1" si="66"/>
        <v>No</v>
      </c>
      <c r="G885" s="2" t="str">
        <f t="shared" si="67"/>
        <v>Dec-2023</v>
      </c>
      <c r="H885" s="2">
        <v>44999</v>
      </c>
      <c r="I885">
        <v>2</v>
      </c>
      <c r="J885" t="s">
        <v>57</v>
      </c>
      <c r="K885">
        <v>1</v>
      </c>
      <c r="L885" t="s">
        <v>24</v>
      </c>
      <c r="M885" s="9">
        <v>25502</v>
      </c>
      <c r="N885" t="s">
        <v>25</v>
      </c>
      <c r="O885" t="s">
        <v>54</v>
      </c>
      <c r="P885" t="s">
        <v>27</v>
      </c>
      <c r="Q885" s="2">
        <v>45172</v>
      </c>
      <c r="R885" s="13">
        <f t="shared" si="68"/>
        <v>44460</v>
      </c>
      <c r="S885" s="13">
        <f t="shared" si="69"/>
        <v>4557.4358974360466</v>
      </c>
      <c r="T885" s="2">
        <v>45202.875</v>
      </c>
      <c r="U885" t="s">
        <v>42</v>
      </c>
      <c r="V885" t="s">
        <v>29</v>
      </c>
      <c r="W885" t="s">
        <v>30</v>
      </c>
      <c r="X885">
        <v>4</v>
      </c>
      <c r="Y885">
        <v>8</v>
      </c>
      <c r="Z885" t="s">
        <v>48</v>
      </c>
    </row>
    <row r="886" spans="1:26">
      <c r="A886" t="s">
        <v>943</v>
      </c>
      <c r="B886">
        <v>70</v>
      </c>
      <c r="C886" t="str">
        <f t="shared" si="65"/>
        <v>66+</v>
      </c>
      <c r="D886" t="s">
        <v>33</v>
      </c>
      <c r="E886" s="2">
        <v>45167</v>
      </c>
      <c r="F886" s="2" t="str">
        <f t="shared" ca="1" si="66"/>
        <v>No</v>
      </c>
      <c r="G886" s="2" t="str">
        <f t="shared" si="67"/>
        <v>Aug-2023</v>
      </c>
      <c r="H886" s="2">
        <v>45208</v>
      </c>
      <c r="I886">
        <v>12</v>
      </c>
      <c r="J886" t="s">
        <v>34</v>
      </c>
      <c r="K886">
        <v>1</v>
      </c>
      <c r="L886" t="s">
        <v>35</v>
      </c>
      <c r="M886" s="9">
        <v>5565</v>
      </c>
      <c r="N886" t="s">
        <v>36</v>
      </c>
      <c r="O886" t="s">
        <v>26</v>
      </c>
      <c r="P886" t="s">
        <v>27</v>
      </c>
      <c r="Q886" s="2">
        <v>45166</v>
      </c>
      <c r="R886" s="13">
        <f t="shared" si="68"/>
        <v>59.99999999650754</v>
      </c>
      <c r="S886" s="13">
        <f t="shared" si="69"/>
        <v>4213.4482758622198</v>
      </c>
      <c r="T886" s="2">
        <v>45166.041666666664</v>
      </c>
      <c r="U886" t="s">
        <v>28</v>
      </c>
      <c r="V886" t="s">
        <v>29</v>
      </c>
      <c r="W886" t="s">
        <v>43</v>
      </c>
      <c r="X886">
        <v>7</v>
      </c>
      <c r="Y886">
        <v>12</v>
      </c>
      <c r="Z886" t="s">
        <v>31</v>
      </c>
    </row>
    <row r="887" spans="1:26">
      <c r="A887" t="s">
        <v>944</v>
      </c>
      <c r="B887">
        <v>33</v>
      </c>
      <c r="C887" t="str">
        <f t="shared" si="65"/>
        <v>18-35</v>
      </c>
      <c r="D887" t="s">
        <v>62</v>
      </c>
      <c r="E887" s="2">
        <v>45221</v>
      </c>
      <c r="F887" s="2" t="str">
        <f t="shared" ca="1" si="66"/>
        <v>No</v>
      </c>
      <c r="G887" s="2" t="str">
        <f t="shared" si="67"/>
        <v>Oct-2023</v>
      </c>
      <c r="H887" s="2">
        <v>45027</v>
      </c>
      <c r="I887">
        <v>13</v>
      </c>
      <c r="J887" t="s">
        <v>23</v>
      </c>
      <c r="K887">
        <v>3</v>
      </c>
      <c r="L887" t="s">
        <v>24</v>
      </c>
      <c r="M887" s="9">
        <v>43773</v>
      </c>
      <c r="N887" t="s">
        <v>36</v>
      </c>
      <c r="O887" t="s">
        <v>54</v>
      </c>
      <c r="P887" t="s">
        <v>41</v>
      </c>
      <c r="Q887" s="2">
        <v>45216</v>
      </c>
      <c r="R887" s="13">
        <f t="shared" si="68"/>
        <v>1319.9999999965075</v>
      </c>
      <c r="S887" s="13">
        <f t="shared" si="69"/>
        <v>4249.5652173914868</v>
      </c>
      <c r="T887" s="2">
        <v>45216.916666666664</v>
      </c>
      <c r="U887" t="s">
        <v>64</v>
      </c>
      <c r="V887" t="s">
        <v>29</v>
      </c>
      <c r="W887" t="s">
        <v>30</v>
      </c>
      <c r="X887">
        <v>5</v>
      </c>
      <c r="Y887">
        <v>10</v>
      </c>
      <c r="Z887" t="s">
        <v>48</v>
      </c>
    </row>
    <row r="888" spans="1:26">
      <c r="A888" t="s">
        <v>945</v>
      </c>
      <c r="B888">
        <v>53</v>
      </c>
      <c r="C888" t="str">
        <f t="shared" si="65"/>
        <v>51-65</v>
      </c>
      <c r="D888" t="s">
        <v>22</v>
      </c>
      <c r="E888" s="2">
        <v>45159</v>
      </c>
      <c r="F888" s="2" t="str">
        <f t="shared" ca="1" si="66"/>
        <v>No</v>
      </c>
      <c r="G888" s="2" t="str">
        <f t="shared" si="67"/>
        <v>Aug-2023</v>
      </c>
      <c r="H888" s="2">
        <v>45167</v>
      </c>
      <c r="I888">
        <v>8</v>
      </c>
      <c r="J888" t="s">
        <v>23</v>
      </c>
      <c r="K888">
        <v>3</v>
      </c>
      <c r="L888" t="s">
        <v>66</v>
      </c>
      <c r="M888" s="9">
        <v>46924</v>
      </c>
      <c r="N888" t="s">
        <v>36</v>
      </c>
      <c r="O888" t="s">
        <v>54</v>
      </c>
      <c r="P888" t="s">
        <v>27</v>
      </c>
      <c r="Q888" s="2">
        <v>45157</v>
      </c>
      <c r="R888" s="13">
        <f t="shared" si="68"/>
        <v>59.99999999650754</v>
      </c>
      <c r="S888" s="13">
        <f t="shared" si="69"/>
        <v>4275.2631578949513</v>
      </c>
      <c r="T888" s="2">
        <v>45157.041666666664</v>
      </c>
      <c r="U888" t="s">
        <v>42</v>
      </c>
      <c r="V888" t="s">
        <v>29</v>
      </c>
      <c r="W888" t="s">
        <v>30</v>
      </c>
      <c r="X888">
        <v>9</v>
      </c>
      <c r="Y888">
        <v>12</v>
      </c>
      <c r="Z888" t="s">
        <v>31</v>
      </c>
    </row>
    <row r="889" spans="1:26">
      <c r="A889" t="s">
        <v>946</v>
      </c>
      <c r="B889">
        <v>22</v>
      </c>
      <c r="C889" t="str">
        <f t="shared" si="65"/>
        <v>18-35</v>
      </c>
      <c r="D889" t="s">
        <v>62</v>
      </c>
      <c r="E889" s="2">
        <v>44989</v>
      </c>
      <c r="F889" s="2" t="str">
        <f t="shared" ca="1" si="66"/>
        <v>No</v>
      </c>
      <c r="G889" s="2" t="str">
        <f t="shared" si="67"/>
        <v>Mar-2023</v>
      </c>
      <c r="H889" s="2">
        <v>45020</v>
      </c>
      <c r="I889">
        <v>1</v>
      </c>
      <c r="J889" t="s">
        <v>23</v>
      </c>
      <c r="K889">
        <v>4</v>
      </c>
      <c r="L889" t="s">
        <v>46</v>
      </c>
      <c r="M889" s="9">
        <v>48242</v>
      </c>
      <c r="N889" t="s">
        <v>53</v>
      </c>
      <c r="O889" t="s">
        <v>54</v>
      </c>
      <c r="P889" t="s">
        <v>41</v>
      </c>
      <c r="Q889" s="2">
        <v>44961</v>
      </c>
      <c r="R889" s="13">
        <f t="shared" si="68"/>
        <v>41459.999999996508</v>
      </c>
      <c r="S889" s="13">
        <f t="shared" si="69"/>
        <v>4312.5663716816634</v>
      </c>
      <c r="T889" s="2">
        <v>44989.791666666664</v>
      </c>
      <c r="U889" t="s">
        <v>42</v>
      </c>
      <c r="V889" t="s">
        <v>29</v>
      </c>
      <c r="W889" t="s">
        <v>43</v>
      </c>
      <c r="X889">
        <v>5</v>
      </c>
      <c r="Y889">
        <v>8</v>
      </c>
      <c r="Z889" t="s">
        <v>31</v>
      </c>
    </row>
    <row r="890" spans="1:26">
      <c r="A890" t="s">
        <v>947</v>
      </c>
      <c r="B890">
        <v>21</v>
      </c>
      <c r="C890" t="str">
        <f t="shared" si="65"/>
        <v>18-35</v>
      </c>
      <c r="D890" t="s">
        <v>41</v>
      </c>
      <c r="E890" s="2">
        <v>45371</v>
      </c>
      <c r="F890" s="2" t="str">
        <f t="shared" ca="1" si="66"/>
        <v>No</v>
      </c>
      <c r="G890" s="2" t="str">
        <f t="shared" si="67"/>
        <v>Mar-2024</v>
      </c>
      <c r="H890" s="2">
        <v>45376</v>
      </c>
      <c r="I890">
        <v>5</v>
      </c>
      <c r="J890" t="s">
        <v>40</v>
      </c>
      <c r="K890">
        <v>5</v>
      </c>
      <c r="L890" t="s">
        <v>66</v>
      </c>
      <c r="M890" s="9">
        <v>14187</v>
      </c>
      <c r="N890" t="s">
        <v>36</v>
      </c>
      <c r="O890" t="s">
        <v>54</v>
      </c>
      <c r="P890" t="s">
        <v>27</v>
      </c>
      <c r="Q890" s="2">
        <v>45370</v>
      </c>
      <c r="R890" s="13">
        <f t="shared" si="68"/>
        <v>1499.9999999965075</v>
      </c>
      <c r="S890" s="13">
        <f t="shared" si="69"/>
        <v>3980.8928571431379</v>
      </c>
      <c r="T890" s="2">
        <v>45371.041666666664</v>
      </c>
      <c r="U890" t="s">
        <v>64</v>
      </c>
      <c r="V890" t="s">
        <v>29</v>
      </c>
      <c r="W890" t="s">
        <v>43</v>
      </c>
      <c r="X890">
        <v>7</v>
      </c>
      <c r="Y890">
        <v>12</v>
      </c>
      <c r="Z890" t="s">
        <v>48</v>
      </c>
    </row>
    <row r="891" spans="1:26">
      <c r="A891" t="s">
        <v>948</v>
      </c>
      <c r="B891">
        <v>70</v>
      </c>
      <c r="C891" t="str">
        <f t="shared" si="65"/>
        <v>66+</v>
      </c>
      <c r="D891" t="s">
        <v>22</v>
      </c>
      <c r="E891" s="2">
        <v>45234</v>
      </c>
      <c r="F891" s="2" t="str">
        <f t="shared" ca="1" si="66"/>
        <v>No</v>
      </c>
      <c r="G891" s="2" t="str">
        <f t="shared" si="67"/>
        <v>Nov-2023</v>
      </c>
      <c r="H891" s="2">
        <v>45031</v>
      </c>
      <c r="I891">
        <v>4</v>
      </c>
      <c r="J891" t="s">
        <v>50</v>
      </c>
      <c r="K891">
        <v>2</v>
      </c>
      <c r="L891" t="s">
        <v>66</v>
      </c>
      <c r="M891" s="9">
        <v>12226</v>
      </c>
      <c r="N891" t="s">
        <v>53</v>
      </c>
      <c r="O891" t="s">
        <v>54</v>
      </c>
      <c r="P891" t="s">
        <v>27</v>
      </c>
      <c r="Q891" s="2">
        <v>45081</v>
      </c>
      <c r="R891" s="13">
        <f t="shared" si="68"/>
        <v>87840</v>
      </c>
      <c r="S891" s="13">
        <f t="shared" si="69"/>
        <v>4003.243243243558</v>
      </c>
      <c r="T891" s="2">
        <v>45142</v>
      </c>
      <c r="U891" t="s">
        <v>28</v>
      </c>
      <c r="V891" t="s">
        <v>29</v>
      </c>
      <c r="W891" t="s">
        <v>30</v>
      </c>
      <c r="X891">
        <v>9</v>
      </c>
      <c r="Y891">
        <v>12</v>
      </c>
      <c r="Z891" t="s">
        <v>31</v>
      </c>
    </row>
    <row r="892" spans="1:26">
      <c r="A892" t="s">
        <v>949</v>
      </c>
      <c r="B892">
        <v>70</v>
      </c>
      <c r="C892" t="str">
        <f t="shared" si="65"/>
        <v>66+</v>
      </c>
      <c r="D892" t="s">
        <v>62</v>
      </c>
      <c r="E892" s="2">
        <v>45029</v>
      </c>
      <c r="F892" s="2" t="str">
        <f t="shared" ca="1" si="66"/>
        <v>No</v>
      </c>
      <c r="G892" s="2" t="str">
        <f t="shared" si="67"/>
        <v>Apr-2023</v>
      </c>
      <c r="H892" s="2">
        <v>45030</v>
      </c>
      <c r="I892">
        <v>1</v>
      </c>
      <c r="J892" t="s">
        <v>63</v>
      </c>
      <c r="K892">
        <v>5</v>
      </c>
      <c r="L892" t="s">
        <v>46</v>
      </c>
      <c r="M892" s="9">
        <v>47147</v>
      </c>
      <c r="N892" t="s">
        <v>36</v>
      </c>
      <c r="O892" t="s">
        <v>54</v>
      </c>
      <c r="P892" t="s">
        <v>27</v>
      </c>
      <c r="Q892" s="2">
        <v>45173</v>
      </c>
      <c r="R892" s="13">
        <f t="shared" si="68"/>
        <v>44580.000000003492</v>
      </c>
      <c r="S892" s="13">
        <f t="shared" si="69"/>
        <v>3241.0909090912264</v>
      </c>
      <c r="T892" s="2">
        <v>45203.958333333336</v>
      </c>
      <c r="U892" t="s">
        <v>37</v>
      </c>
      <c r="V892" t="s">
        <v>29</v>
      </c>
      <c r="W892" t="s">
        <v>30</v>
      </c>
      <c r="X892">
        <v>11</v>
      </c>
      <c r="Y892">
        <v>8</v>
      </c>
      <c r="Z892" t="s">
        <v>31</v>
      </c>
    </row>
    <row r="893" spans="1:26">
      <c r="A893" t="s">
        <v>950</v>
      </c>
      <c r="B893">
        <v>4</v>
      </c>
      <c r="C893" t="str">
        <f t="shared" si="65"/>
        <v>0-17</v>
      </c>
      <c r="D893" t="s">
        <v>33</v>
      </c>
      <c r="E893" s="2">
        <v>45381</v>
      </c>
      <c r="F893" s="2" t="str">
        <f t="shared" ca="1" si="66"/>
        <v>No</v>
      </c>
      <c r="G893" s="2" t="str">
        <f t="shared" si="67"/>
        <v>Mar-2024</v>
      </c>
      <c r="H893" s="2">
        <v>45630</v>
      </c>
      <c r="I893">
        <v>13</v>
      </c>
      <c r="J893" t="s">
        <v>34</v>
      </c>
      <c r="K893">
        <v>1</v>
      </c>
      <c r="L893" t="s">
        <v>46</v>
      </c>
      <c r="M893" s="9">
        <v>43658</v>
      </c>
      <c r="N893" t="s">
        <v>53</v>
      </c>
      <c r="O893" t="s">
        <v>54</v>
      </c>
      <c r="P893" t="s">
        <v>27</v>
      </c>
      <c r="Q893" s="2">
        <v>45378</v>
      </c>
      <c r="R893" s="13">
        <f t="shared" si="68"/>
        <v>1200.0000000034925</v>
      </c>
      <c r="S893" s="13">
        <f t="shared" si="69"/>
        <v>2861.8348623856095</v>
      </c>
      <c r="T893" s="2">
        <v>45378.833333333336</v>
      </c>
      <c r="U893" t="s">
        <v>42</v>
      </c>
      <c r="V893" t="s">
        <v>29</v>
      </c>
      <c r="W893" t="s">
        <v>30</v>
      </c>
      <c r="X893">
        <v>9</v>
      </c>
      <c r="Y893">
        <v>10</v>
      </c>
      <c r="Z893" t="s">
        <v>31</v>
      </c>
    </row>
    <row r="894" spans="1:26">
      <c r="A894" t="s">
        <v>951</v>
      </c>
      <c r="B894">
        <v>75</v>
      </c>
      <c r="C894" t="str">
        <f t="shared" si="65"/>
        <v>66+</v>
      </c>
      <c r="D894" t="s">
        <v>33</v>
      </c>
      <c r="E894" s="2">
        <v>45097</v>
      </c>
      <c r="F894" s="2" t="str">
        <f t="shared" ca="1" si="66"/>
        <v>No</v>
      </c>
      <c r="G894" s="2" t="str">
        <f t="shared" si="67"/>
        <v>Jun-2023</v>
      </c>
      <c r="H894" s="2">
        <v>45101</v>
      </c>
      <c r="I894">
        <v>4</v>
      </c>
      <c r="J894" t="s">
        <v>40</v>
      </c>
      <c r="K894">
        <v>3</v>
      </c>
      <c r="L894" t="s">
        <v>71</v>
      </c>
      <c r="M894" s="9">
        <v>9311</v>
      </c>
      <c r="N894" t="s">
        <v>60</v>
      </c>
      <c r="O894" t="s">
        <v>54</v>
      </c>
      <c r="P894" t="s">
        <v>27</v>
      </c>
      <c r="Q894" s="2">
        <v>45096</v>
      </c>
      <c r="R894" s="13">
        <f t="shared" si="68"/>
        <v>419.99999999650754</v>
      </c>
      <c r="S894" s="13">
        <f t="shared" si="69"/>
        <v>2877.2222222224809</v>
      </c>
      <c r="T894" s="2">
        <v>45096.291666666664</v>
      </c>
      <c r="U894" t="s">
        <v>64</v>
      </c>
      <c r="V894" t="s">
        <v>29</v>
      </c>
      <c r="W894" t="s">
        <v>47</v>
      </c>
      <c r="X894">
        <v>4</v>
      </c>
      <c r="Y894">
        <v>12</v>
      </c>
      <c r="Z894" t="s">
        <v>31</v>
      </c>
    </row>
    <row r="895" spans="1:26">
      <c r="A895" t="s">
        <v>952</v>
      </c>
      <c r="B895">
        <v>62</v>
      </c>
      <c r="C895" t="str">
        <f t="shared" si="65"/>
        <v>51-65</v>
      </c>
      <c r="D895" t="s">
        <v>33</v>
      </c>
      <c r="E895" s="2">
        <v>44996</v>
      </c>
      <c r="F895" s="2" t="str">
        <f t="shared" ca="1" si="66"/>
        <v>No</v>
      </c>
      <c r="G895" s="2" t="str">
        <f t="shared" si="67"/>
        <v>Mar-2023</v>
      </c>
      <c r="H895" s="2">
        <v>45248</v>
      </c>
      <c r="I895">
        <v>15</v>
      </c>
      <c r="J895" t="s">
        <v>34</v>
      </c>
      <c r="K895">
        <v>4</v>
      </c>
      <c r="L895" t="s">
        <v>71</v>
      </c>
      <c r="M895" s="9">
        <v>49214</v>
      </c>
      <c r="N895" t="s">
        <v>60</v>
      </c>
      <c r="O895" t="s">
        <v>54</v>
      </c>
      <c r="P895" t="s">
        <v>27</v>
      </c>
      <c r="Q895" s="2">
        <v>45229</v>
      </c>
      <c r="R895" s="13">
        <f t="shared" si="68"/>
        <v>840.00000000349246</v>
      </c>
      <c r="S895" s="13">
        <f t="shared" si="69"/>
        <v>2900.1869158881441</v>
      </c>
      <c r="T895" s="2">
        <v>45229.583333333336</v>
      </c>
      <c r="U895" t="s">
        <v>28</v>
      </c>
      <c r="V895" t="s">
        <v>29</v>
      </c>
      <c r="W895" t="s">
        <v>30</v>
      </c>
      <c r="X895">
        <v>4</v>
      </c>
      <c r="Y895">
        <v>12</v>
      </c>
      <c r="Z895" t="s">
        <v>48</v>
      </c>
    </row>
    <row r="896" spans="1:26">
      <c r="A896" t="s">
        <v>953</v>
      </c>
      <c r="B896">
        <v>62</v>
      </c>
      <c r="C896" t="str">
        <f t="shared" si="65"/>
        <v>51-65</v>
      </c>
      <c r="D896" t="s">
        <v>45</v>
      </c>
      <c r="E896" s="2">
        <v>44956</v>
      </c>
      <c r="F896" s="2" t="str">
        <f t="shared" ca="1" si="66"/>
        <v>No</v>
      </c>
      <c r="G896" s="2" t="str">
        <f t="shared" si="67"/>
        <v>Jan-2023</v>
      </c>
      <c r="H896" s="2">
        <v>44957</v>
      </c>
      <c r="I896">
        <v>1</v>
      </c>
      <c r="J896" t="s">
        <v>34</v>
      </c>
      <c r="K896">
        <v>5</v>
      </c>
      <c r="L896" t="s">
        <v>66</v>
      </c>
      <c r="M896" s="9">
        <v>46616</v>
      </c>
      <c r="N896" t="s">
        <v>25</v>
      </c>
      <c r="O896" t="s">
        <v>54</v>
      </c>
      <c r="P896" t="s">
        <v>41</v>
      </c>
      <c r="Q896" s="2">
        <v>44951</v>
      </c>
      <c r="R896" s="13">
        <f t="shared" si="68"/>
        <v>2039.9999999965075</v>
      </c>
      <c r="S896" s="13">
        <f t="shared" si="69"/>
        <v>2919.6226415096976</v>
      </c>
      <c r="T896" s="2">
        <v>44952.416666666664</v>
      </c>
      <c r="U896" t="s">
        <v>55</v>
      </c>
      <c r="V896" t="s">
        <v>29</v>
      </c>
      <c r="W896" t="s">
        <v>43</v>
      </c>
      <c r="X896">
        <v>4</v>
      </c>
      <c r="Y896">
        <v>10</v>
      </c>
      <c r="Z896" t="s">
        <v>68</v>
      </c>
    </row>
    <row r="897" spans="1:26">
      <c r="A897" t="s">
        <v>954</v>
      </c>
      <c r="B897">
        <v>24</v>
      </c>
      <c r="C897" t="str">
        <f t="shared" si="65"/>
        <v>18-35</v>
      </c>
      <c r="D897" t="s">
        <v>52</v>
      </c>
      <c r="E897" s="2">
        <v>44974</v>
      </c>
      <c r="F897" s="2" t="str">
        <f t="shared" ca="1" si="66"/>
        <v>No</v>
      </c>
      <c r="G897" s="2" t="str">
        <f t="shared" si="67"/>
        <v>Feb-2023</v>
      </c>
      <c r="H897" s="2">
        <v>44980</v>
      </c>
      <c r="I897">
        <v>6</v>
      </c>
      <c r="J897" t="s">
        <v>57</v>
      </c>
      <c r="K897">
        <v>4</v>
      </c>
      <c r="L897" t="s">
        <v>66</v>
      </c>
      <c r="M897" s="9">
        <v>30689</v>
      </c>
      <c r="N897" t="s">
        <v>53</v>
      </c>
      <c r="O897" t="s">
        <v>54</v>
      </c>
      <c r="P897" t="s">
        <v>41</v>
      </c>
      <c r="Q897" s="2">
        <v>44974</v>
      </c>
      <c r="R897" s="13">
        <f t="shared" si="68"/>
        <v>959.99999999650754</v>
      </c>
      <c r="S897" s="13">
        <f t="shared" si="69"/>
        <v>2928.0000000002992</v>
      </c>
      <c r="T897" s="2">
        <v>44974.666666666664</v>
      </c>
      <c r="U897" t="s">
        <v>37</v>
      </c>
      <c r="V897" t="s">
        <v>29</v>
      </c>
      <c r="W897" t="s">
        <v>43</v>
      </c>
      <c r="X897">
        <v>8</v>
      </c>
      <c r="Y897">
        <v>10</v>
      </c>
      <c r="Z897" t="s">
        <v>68</v>
      </c>
    </row>
    <row r="898" spans="1:26">
      <c r="A898" t="s">
        <v>955</v>
      </c>
      <c r="B898">
        <v>55</v>
      </c>
      <c r="C898" t="str">
        <f t="shared" si="65"/>
        <v>51-65</v>
      </c>
      <c r="D898" t="s">
        <v>33</v>
      </c>
      <c r="E898" s="2">
        <v>45259</v>
      </c>
      <c r="F898" s="2" t="str">
        <f t="shared" ca="1" si="66"/>
        <v>No</v>
      </c>
      <c r="G898" s="2" t="str">
        <f t="shared" si="67"/>
        <v>Nov-2023</v>
      </c>
      <c r="H898" s="2">
        <v>45274</v>
      </c>
      <c r="I898">
        <v>15</v>
      </c>
      <c r="J898" t="s">
        <v>57</v>
      </c>
      <c r="K898">
        <v>5</v>
      </c>
      <c r="L898" t="s">
        <v>35</v>
      </c>
      <c r="M898" s="9">
        <v>11083</v>
      </c>
      <c r="N898" t="s">
        <v>67</v>
      </c>
      <c r="O898" t="s">
        <v>26</v>
      </c>
      <c r="P898" t="s">
        <v>41</v>
      </c>
      <c r="Q898" s="2">
        <v>45255</v>
      </c>
      <c r="R898" s="13">
        <f t="shared" si="68"/>
        <v>1620</v>
      </c>
      <c r="S898" s="13">
        <f t="shared" si="69"/>
        <v>2946.9230769234127</v>
      </c>
      <c r="T898" s="2">
        <v>45256.125</v>
      </c>
      <c r="U898" t="s">
        <v>64</v>
      </c>
      <c r="V898" t="s">
        <v>29</v>
      </c>
      <c r="W898" t="s">
        <v>43</v>
      </c>
      <c r="X898">
        <v>11</v>
      </c>
      <c r="Y898">
        <v>12</v>
      </c>
      <c r="Z898" t="s">
        <v>31</v>
      </c>
    </row>
    <row r="899" spans="1:26">
      <c r="A899" t="s">
        <v>956</v>
      </c>
      <c r="B899">
        <v>9</v>
      </c>
      <c r="C899" t="str">
        <f t="shared" ref="C899:C962" si="70">IF(B899&lt;18,"0-17",IF(B899&lt;=35,"18-35",IF(B899&lt;=50,"36-50",IF(B899&lt;=65,"51-65","66+"))))</f>
        <v>0-17</v>
      </c>
      <c r="D899" t="s">
        <v>22</v>
      </c>
      <c r="E899" s="2">
        <v>44984</v>
      </c>
      <c r="F899" s="2" t="str">
        <f t="shared" ref="F899:F962" ca="1" si="71">IF(E899&gt;=EDATE(TODAY(),-12),"Yes","No")</f>
        <v>No</v>
      </c>
      <c r="G899" s="2" t="str">
        <f t="shared" ref="G899:G962" si="72">TEXT(E899,"mmm-yyyy")</f>
        <v>Feb-2023</v>
      </c>
      <c r="H899" s="2">
        <v>45019</v>
      </c>
      <c r="I899">
        <v>5</v>
      </c>
      <c r="J899" t="s">
        <v>57</v>
      </c>
      <c r="K899">
        <v>1</v>
      </c>
      <c r="L899" t="s">
        <v>35</v>
      </c>
      <c r="M899" s="9">
        <v>17598</v>
      </c>
      <c r="N899" t="s">
        <v>25</v>
      </c>
      <c r="O899" t="s">
        <v>54</v>
      </c>
      <c r="P899" t="s">
        <v>27</v>
      </c>
      <c r="Q899" s="2">
        <v>44984</v>
      </c>
      <c r="R899" s="13">
        <f t="shared" ref="R899:R962" si="73">(T899-Q899)*1440</f>
        <v>1920.0000000034925</v>
      </c>
      <c r="S899" s="13">
        <f t="shared" ref="S899:S962" si="74">AVERAGE(R899:R1397)</f>
        <v>2959.8058252430574</v>
      </c>
      <c r="T899" s="2">
        <v>44985.333333333336</v>
      </c>
      <c r="U899" t="s">
        <v>64</v>
      </c>
      <c r="V899" t="s">
        <v>29</v>
      </c>
      <c r="W899" t="s">
        <v>30</v>
      </c>
      <c r="X899">
        <v>6</v>
      </c>
      <c r="Y899">
        <v>8</v>
      </c>
      <c r="Z899" t="s">
        <v>31</v>
      </c>
    </row>
    <row r="900" spans="1:26">
      <c r="A900" t="s">
        <v>957</v>
      </c>
      <c r="B900">
        <v>3</v>
      </c>
      <c r="C900" t="str">
        <f t="shared" si="70"/>
        <v>0-17</v>
      </c>
      <c r="D900" t="s">
        <v>33</v>
      </c>
      <c r="E900" s="2">
        <v>45227</v>
      </c>
      <c r="F900" s="2" t="str">
        <f t="shared" ca="1" si="71"/>
        <v>No</v>
      </c>
      <c r="G900" s="2" t="str">
        <f t="shared" si="72"/>
        <v>Oct-2023</v>
      </c>
      <c r="H900" s="2">
        <v>45088</v>
      </c>
      <c r="I900">
        <v>9</v>
      </c>
      <c r="J900" t="s">
        <v>40</v>
      </c>
      <c r="K900">
        <v>2</v>
      </c>
      <c r="L900" t="s">
        <v>71</v>
      </c>
      <c r="M900" s="9">
        <v>21940</v>
      </c>
      <c r="N900" t="s">
        <v>60</v>
      </c>
      <c r="O900" t="s">
        <v>26</v>
      </c>
      <c r="P900" t="s">
        <v>41</v>
      </c>
      <c r="Q900" s="2">
        <v>45227</v>
      </c>
      <c r="R900" s="13">
        <f t="shared" si="73"/>
        <v>239.99999999650754</v>
      </c>
      <c r="S900" s="13">
        <f t="shared" si="74"/>
        <v>2970.0000000003083</v>
      </c>
      <c r="T900" s="2">
        <v>45227.166666666664</v>
      </c>
      <c r="U900" t="s">
        <v>64</v>
      </c>
      <c r="V900" t="s">
        <v>29</v>
      </c>
      <c r="W900" t="s">
        <v>30</v>
      </c>
      <c r="X900">
        <v>10</v>
      </c>
      <c r="Y900">
        <v>10</v>
      </c>
      <c r="Z900" t="s">
        <v>31</v>
      </c>
    </row>
    <row r="901" spans="1:26">
      <c r="A901" t="s">
        <v>958</v>
      </c>
      <c r="B901">
        <v>31</v>
      </c>
      <c r="C901" t="str">
        <f t="shared" si="70"/>
        <v>18-35</v>
      </c>
      <c r="D901" t="s">
        <v>45</v>
      </c>
      <c r="E901" s="2">
        <v>45352</v>
      </c>
      <c r="F901" s="2" t="str">
        <f t="shared" ca="1" si="71"/>
        <v>No</v>
      </c>
      <c r="G901" s="2" t="str">
        <f t="shared" si="72"/>
        <v>Mar-2024</v>
      </c>
      <c r="H901" s="2">
        <v>45566</v>
      </c>
      <c r="I901">
        <v>7</v>
      </c>
      <c r="J901" t="s">
        <v>34</v>
      </c>
      <c r="K901">
        <v>4</v>
      </c>
      <c r="L901" t="s">
        <v>71</v>
      </c>
      <c r="M901" s="9">
        <v>31880</v>
      </c>
      <c r="N901" t="s">
        <v>53</v>
      </c>
      <c r="O901" t="s">
        <v>26</v>
      </c>
      <c r="P901" t="s">
        <v>27</v>
      </c>
      <c r="Q901" s="2">
        <v>45289</v>
      </c>
      <c r="R901" s="13">
        <f t="shared" si="73"/>
        <v>599.99999999650754</v>
      </c>
      <c r="S901" s="13">
        <f t="shared" si="74"/>
        <v>2997.029702970643</v>
      </c>
      <c r="T901" s="2">
        <v>45289.416666666664</v>
      </c>
      <c r="U901" t="s">
        <v>42</v>
      </c>
      <c r="V901" t="s">
        <v>29</v>
      </c>
      <c r="W901" t="s">
        <v>47</v>
      </c>
      <c r="X901">
        <v>4</v>
      </c>
      <c r="Y901">
        <v>10</v>
      </c>
      <c r="Z901" t="s">
        <v>68</v>
      </c>
    </row>
    <row r="902" spans="1:26">
      <c r="A902" t="s">
        <v>959</v>
      </c>
      <c r="B902">
        <v>40</v>
      </c>
      <c r="C902" t="str">
        <f t="shared" si="70"/>
        <v>36-50</v>
      </c>
      <c r="D902" t="s">
        <v>41</v>
      </c>
      <c r="E902" s="2">
        <v>45310</v>
      </c>
      <c r="F902" s="2" t="str">
        <f t="shared" ca="1" si="71"/>
        <v>No</v>
      </c>
      <c r="G902" s="2" t="str">
        <f t="shared" si="72"/>
        <v>Jan-2024</v>
      </c>
      <c r="H902" s="2">
        <v>45324</v>
      </c>
      <c r="I902">
        <v>14</v>
      </c>
      <c r="J902" t="s">
        <v>50</v>
      </c>
      <c r="K902">
        <v>4</v>
      </c>
      <c r="L902" t="s">
        <v>35</v>
      </c>
      <c r="M902" s="9">
        <v>7580</v>
      </c>
      <c r="N902" t="s">
        <v>36</v>
      </c>
      <c r="O902" t="s">
        <v>54</v>
      </c>
      <c r="P902" t="s">
        <v>27</v>
      </c>
      <c r="Q902" s="2">
        <v>45310</v>
      </c>
      <c r="R902" s="13">
        <f t="shared" si="73"/>
        <v>2759.9999999965075</v>
      </c>
      <c r="S902" s="13">
        <f t="shared" si="74"/>
        <v>3021.0000000003843</v>
      </c>
      <c r="T902" s="2">
        <v>45311.916666666664</v>
      </c>
      <c r="U902" t="s">
        <v>55</v>
      </c>
      <c r="V902" t="s">
        <v>29</v>
      </c>
      <c r="W902" t="s">
        <v>47</v>
      </c>
      <c r="X902">
        <v>6</v>
      </c>
      <c r="Y902">
        <v>8</v>
      </c>
      <c r="Z902" t="s">
        <v>31</v>
      </c>
    </row>
    <row r="903" spans="1:26">
      <c r="A903" t="s">
        <v>960</v>
      </c>
      <c r="B903">
        <v>36</v>
      </c>
      <c r="C903" t="str">
        <f t="shared" si="70"/>
        <v>36-50</v>
      </c>
      <c r="D903" t="s">
        <v>22</v>
      </c>
      <c r="E903" s="2">
        <v>45368</v>
      </c>
      <c r="F903" s="2" t="str">
        <f t="shared" ca="1" si="71"/>
        <v>No</v>
      </c>
      <c r="G903" s="2" t="str">
        <f t="shared" si="72"/>
        <v>Mar-2024</v>
      </c>
      <c r="H903" s="2">
        <v>45377</v>
      </c>
      <c r="I903">
        <v>9</v>
      </c>
      <c r="J903" t="s">
        <v>63</v>
      </c>
      <c r="K903">
        <v>2</v>
      </c>
      <c r="L903" t="s">
        <v>35</v>
      </c>
      <c r="M903" s="9">
        <v>47321</v>
      </c>
      <c r="N903" t="s">
        <v>67</v>
      </c>
      <c r="O903" t="s">
        <v>54</v>
      </c>
      <c r="P903" t="s">
        <v>41</v>
      </c>
      <c r="Q903" s="2">
        <v>45368</v>
      </c>
      <c r="R903" s="13">
        <f t="shared" si="73"/>
        <v>1080</v>
      </c>
      <c r="S903" s="13">
        <f t="shared" si="74"/>
        <v>3023.6363636367869</v>
      </c>
      <c r="T903" s="2">
        <v>45368.75</v>
      </c>
      <c r="U903" t="s">
        <v>37</v>
      </c>
      <c r="V903" t="s">
        <v>29</v>
      </c>
      <c r="W903" t="s">
        <v>43</v>
      </c>
      <c r="X903">
        <v>6</v>
      </c>
      <c r="Y903">
        <v>12</v>
      </c>
      <c r="Z903" t="s">
        <v>48</v>
      </c>
    </row>
    <row r="904" spans="1:26">
      <c r="A904" t="s">
        <v>961</v>
      </c>
      <c r="B904">
        <v>24</v>
      </c>
      <c r="C904" t="str">
        <f t="shared" si="70"/>
        <v>18-35</v>
      </c>
      <c r="D904" t="s">
        <v>45</v>
      </c>
      <c r="E904" s="2">
        <v>45076</v>
      </c>
      <c r="F904" s="2" t="str">
        <f t="shared" ca="1" si="71"/>
        <v>No</v>
      </c>
      <c r="G904" s="2" t="str">
        <f t="shared" si="72"/>
        <v>May-2023</v>
      </c>
      <c r="H904" s="2">
        <v>45113</v>
      </c>
      <c r="I904">
        <v>8</v>
      </c>
      <c r="J904" t="s">
        <v>57</v>
      </c>
      <c r="K904">
        <v>4</v>
      </c>
      <c r="L904" t="s">
        <v>24</v>
      </c>
      <c r="M904" s="9">
        <v>14386</v>
      </c>
      <c r="N904" t="s">
        <v>60</v>
      </c>
      <c r="O904" t="s">
        <v>26</v>
      </c>
      <c r="P904" t="s">
        <v>27</v>
      </c>
      <c r="Q904" s="2">
        <v>45073</v>
      </c>
      <c r="R904" s="13">
        <f t="shared" si="73"/>
        <v>360</v>
      </c>
      <c r="S904" s="13">
        <f t="shared" si="74"/>
        <v>3043.4693877555296</v>
      </c>
      <c r="T904" s="2">
        <v>45073.25</v>
      </c>
      <c r="U904" t="s">
        <v>28</v>
      </c>
      <c r="V904" t="s">
        <v>38</v>
      </c>
      <c r="W904" t="s">
        <v>47</v>
      </c>
      <c r="X904">
        <v>5</v>
      </c>
      <c r="Y904">
        <v>10</v>
      </c>
      <c r="Z904" t="s">
        <v>48</v>
      </c>
    </row>
    <row r="905" spans="1:26">
      <c r="A905" t="s">
        <v>962</v>
      </c>
      <c r="B905">
        <v>6</v>
      </c>
      <c r="C905" t="str">
        <f t="shared" si="70"/>
        <v>0-17</v>
      </c>
      <c r="D905" t="s">
        <v>41</v>
      </c>
      <c r="E905" s="2">
        <v>45147</v>
      </c>
      <c r="F905" s="2" t="str">
        <f t="shared" ca="1" si="71"/>
        <v>No</v>
      </c>
      <c r="G905" s="2" t="str">
        <f t="shared" si="72"/>
        <v>Aug-2023</v>
      </c>
      <c r="H905" s="2">
        <v>45182</v>
      </c>
      <c r="I905">
        <v>5</v>
      </c>
      <c r="J905" t="s">
        <v>57</v>
      </c>
      <c r="K905">
        <v>4</v>
      </c>
      <c r="L905" t="s">
        <v>24</v>
      </c>
      <c r="M905" s="9">
        <v>24522</v>
      </c>
      <c r="N905" t="s">
        <v>25</v>
      </c>
      <c r="O905" t="s">
        <v>26</v>
      </c>
      <c r="P905" t="s">
        <v>27</v>
      </c>
      <c r="Q905" s="2">
        <v>45116</v>
      </c>
      <c r="R905" s="13">
        <f t="shared" si="73"/>
        <v>180</v>
      </c>
      <c r="S905" s="13">
        <f t="shared" si="74"/>
        <v>3071.1340206189889</v>
      </c>
      <c r="T905" s="2">
        <v>45116.125</v>
      </c>
      <c r="U905" t="s">
        <v>28</v>
      </c>
      <c r="V905" t="s">
        <v>29</v>
      </c>
      <c r="W905" t="s">
        <v>47</v>
      </c>
      <c r="X905">
        <v>7</v>
      </c>
      <c r="Y905">
        <v>12</v>
      </c>
      <c r="Z905" t="s">
        <v>48</v>
      </c>
    </row>
    <row r="906" spans="1:26">
      <c r="A906" t="s">
        <v>963</v>
      </c>
      <c r="B906">
        <v>66</v>
      </c>
      <c r="C906" t="str">
        <f t="shared" si="70"/>
        <v>66+</v>
      </c>
      <c r="D906" t="s">
        <v>22</v>
      </c>
      <c r="E906" s="2">
        <v>45348</v>
      </c>
      <c r="F906" s="2" t="str">
        <f t="shared" ca="1" si="71"/>
        <v>No</v>
      </c>
      <c r="G906" s="2" t="str">
        <f t="shared" si="72"/>
        <v>Feb-2024</v>
      </c>
      <c r="H906" s="2">
        <v>45349</v>
      </c>
      <c r="I906">
        <v>1</v>
      </c>
      <c r="J906" t="s">
        <v>34</v>
      </c>
      <c r="K906">
        <v>5</v>
      </c>
      <c r="L906" t="s">
        <v>35</v>
      </c>
      <c r="M906" s="9">
        <v>31224</v>
      </c>
      <c r="N906" t="s">
        <v>53</v>
      </c>
      <c r="O906" t="s">
        <v>26</v>
      </c>
      <c r="P906" t="s">
        <v>41</v>
      </c>
      <c r="Q906" s="2">
        <v>45343</v>
      </c>
      <c r="R906" s="13">
        <f t="shared" si="73"/>
        <v>900</v>
      </c>
      <c r="S906" s="13">
        <f t="shared" si="74"/>
        <v>3101.2500000004366</v>
      </c>
      <c r="T906" s="2">
        <v>45343.625</v>
      </c>
      <c r="U906" t="s">
        <v>55</v>
      </c>
      <c r="V906" t="s">
        <v>29</v>
      </c>
      <c r="W906" t="s">
        <v>43</v>
      </c>
      <c r="X906">
        <v>8</v>
      </c>
      <c r="Y906">
        <v>12</v>
      </c>
      <c r="Z906" t="s">
        <v>68</v>
      </c>
    </row>
    <row r="907" spans="1:26">
      <c r="A907" t="s">
        <v>964</v>
      </c>
      <c r="B907">
        <v>84</v>
      </c>
      <c r="C907" t="str">
        <f t="shared" si="70"/>
        <v>66+</v>
      </c>
      <c r="D907" t="s">
        <v>62</v>
      </c>
      <c r="E907" s="2">
        <v>45023</v>
      </c>
      <c r="F907" s="2" t="str">
        <f t="shared" ca="1" si="71"/>
        <v>No</v>
      </c>
      <c r="G907" s="2" t="str">
        <f t="shared" si="72"/>
        <v>Apr-2023</v>
      </c>
      <c r="H907" s="2">
        <v>45124</v>
      </c>
      <c r="I907">
        <v>13</v>
      </c>
      <c r="J907" t="s">
        <v>34</v>
      </c>
      <c r="K907">
        <v>5</v>
      </c>
      <c r="L907" t="s">
        <v>24</v>
      </c>
      <c r="M907" s="9">
        <v>19635</v>
      </c>
      <c r="N907" t="s">
        <v>67</v>
      </c>
      <c r="O907" t="s">
        <v>26</v>
      </c>
      <c r="P907" t="s">
        <v>27</v>
      </c>
      <c r="Q907" s="2">
        <v>44992</v>
      </c>
      <c r="R907" s="13">
        <f t="shared" si="73"/>
        <v>45239.999999996508</v>
      </c>
      <c r="S907" s="13">
        <f t="shared" si="74"/>
        <v>3124.4210526320203</v>
      </c>
      <c r="T907" s="2">
        <v>45023.416666666664</v>
      </c>
      <c r="U907" t="s">
        <v>64</v>
      </c>
      <c r="V907" t="s">
        <v>29</v>
      </c>
      <c r="W907" t="s">
        <v>30</v>
      </c>
      <c r="X907">
        <v>6</v>
      </c>
      <c r="Y907">
        <v>12</v>
      </c>
      <c r="Z907" t="s">
        <v>31</v>
      </c>
    </row>
    <row r="908" spans="1:26">
      <c r="A908" t="s">
        <v>965</v>
      </c>
      <c r="B908">
        <v>75</v>
      </c>
      <c r="C908" t="str">
        <f t="shared" si="70"/>
        <v>66+</v>
      </c>
      <c r="D908" t="s">
        <v>52</v>
      </c>
      <c r="E908" s="2">
        <v>45101</v>
      </c>
      <c r="F908" s="2" t="str">
        <f t="shared" ca="1" si="71"/>
        <v>No</v>
      </c>
      <c r="G908" s="2" t="str">
        <f t="shared" si="72"/>
        <v>Jun-2023</v>
      </c>
      <c r="H908" s="2">
        <v>45053</v>
      </c>
      <c r="I908">
        <v>11</v>
      </c>
      <c r="J908" t="s">
        <v>40</v>
      </c>
      <c r="K908">
        <v>2</v>
      </c>
      <c r="L908" t="s">
        <v>46</v>
      </c>
      <c r="M908" s="9">
        <v>5671</v>
      </c>
      <c r="N908" t="s">
        <v>53</v>
      </c>
      <c r="O908" t="s">
        <v>54</v>
      </c>
      <c r="P908" t="s">
        <v>27</v>
      </c>
      <c r="Q908" s="2">
        <v>45101</v>
      </c>
      <c r="R908" s="13">
        <f t="shared" si="73"/>
        <v>1620</v>
      </c>
      <c r="S908" s="13">
        <f t="shared" si="74"/>
        <v>2676.3829787238874</v>
      </c>
      <c r="T908" s="2">
        <v>45102.125</v>
      </c>
      <c r="U908" t="s">
        <v>64</v>
      </c>
      <c r="V908" t="s">
        <v>29</v>
      </c>
      <c r="W908" t="s">
        <v>47</v>
      </c>
      <c r="X908">
        <v>10</v>
      </c>
      <c r="Y908">
        <v>8</v>
      </c>
      <c r="Z908" t="s">
        <v>31</v>
      </c>
    </row>
    <row r="909" spans="1:26">
      <c r="A909" t="s">
        <v>966</v>
      </c>
      <c r="B909">
        <v>4</v>
      </c>
      <c r="C909" t="str">
        <f t="shared" si="70"/>
        <v>0-17</v>
      </c>
      <c r="D909" t="s">
        <v>52</v>
      </c>
      <c r="E909" s="2">
        <v>45106</v>
      </c>
      <c r="F909" s="2" t="str">
        <f t="shared" ca="1" si="71"/>
        <v>No</v>
      </c>
      <c r="G909" s="2" t="str">
        <f t="shared" si="72"/>
        <v>Jun-2023</v>
      </c>
      <c r="H909" s="2">
        <v>44992</v>
      </c>
      <c r="I909">
        <v>4</v>
      </c>
      <c r="J909" t="s">
        <v>40</v>
      </c>
      <c r="K909">
        <v>1</v>
      </c>
      <c r="L909" t="s">
        <v>71</v>
      </c>
      <c r="M909" s="9">
        <v>38545</v>
      </c>
      <c r="N909" t="s">
        <v>36</v>
      </c>
      <c r="O909" t="s">
        <v>54</v>
      </c>
      <c r="P909" t="s">
        <v>27</v>
      </c>
      <c r="Q909" s="2">
        <v>45101</v>
      </c>
      <c r="R909" s="13">
        <f t="shared" si="73"/>
        <v>2700</v>
      </c>
      <c r="S909" s="13">
        <f t="shared" si="74"/>
        <v>2687.7419354843591</v>
      </c>
      <c r="T909" s="2">
        <v>45102.875</v>
      </c>
      <c r="U909" t="s">
        <v>64</v>
      </c>
      <c r="V909" t="s">
        <v>29</v>
      </c>
      <c r="W909" t="s">
        <v>30</v>
      </c>
      <c r="X909">
        <v>8</v>
      </c>
      <c r="Y909">
        <v>12</v>
      </c>
      <c r="Z909" t="s">
        <v>31</v>
      </c>
    </row>
    <row r="910" spans="1:26">
      <c r="A910" t="s">
        <v>967</v>
      </c>
      <c r="B910">
        <v>79</v>
      </c>
      <c r="C910" t="str">
        <f t="shared" si="70"/>
        <v>66+</v>
      </c>
      <c r="D910" t="s">
        <v>45</v>
      </c>
      <c r="E910" s="2">
        <v>45007</v>
      </c>
      <c r="F910" s="2" t="str">
        <f t="shared" ca="1" si="71"/>
        <v>No</v>
      </c>
      <c r="G910" s="2" t="str">
        <f t="shared" si="72"/>
        <v>Mar-2023</v>
      </c>
      <c r="H910" s="2">
        <v>45012</v>
      </c>
      <c r="I910">
        <v>5</v>
      </c>
      <c r="J910" t="s">
        <v>57</v>
      </c>
      <c r="K910">
        <v>4</v>
      </c>
      <c r="L910" t="s">
        <v>71</v>
      </c>
      <c r="M910" s="9">
        <v>31855</v>
      </c>
      <c r="N910" t="s">
        <v>25</v>
      </c>
      <c r="O910" t="s">
        <v>54</v>
      </c>
      <c r="P910" t="s">
        <v>27</v>
      </c>
      <c r="Q910" s="2">
        <v>45006</v>
      </c>
      <c r="R910" s="13">
        <f t="shared" si="73"/>
        <v>1440</v>
      </c>
      <c r="S910" s="13">
        <f t="shared" si="74"/>
        <v>2687.6086956526674</v>
      </c>
      <c r="T910" s="2">
        <v>45007</v>
      </c>
      <c r="U910" t="s">
        <v>64</v>
      </c>
      <c r="V910" t="s">
        <v>29</v>
      </c>
      <c r="W910" t="s">
        <v>43</v>
      </c>
      <c r="X910">
        <v>5</v>
      </c>
      <c r="Y910">
        <v>12</v>
      </c>
      <c r="Z910" t="s">
        <v>68</v>
      </c>
    </row>
    <row r="911" spans="1:26">
      <c r="A911" t="s">
        <v>968</v>
      </c>
      <c r="B911">
        <v>6</v>
      </c>
      <c r="C911" t="str">
        <f t="shared" si="70"/>
        <v>0-17</v>
      </c>
      <c r="D911" t="s">
        <v>41</v>
      </c>
      <c r="E911" s="2">
        <v>45318</v>
      </c>
      <c r="F911" s="2" t="str">
        <f t="shared" ca="1" si="71"/>
        <v>No</v>
      </c>
      <c r="G911" s="2" t="str">
        <f t="shared" si="72"/>
        <v>Jan-2024</v>
      </c>
      <c r="H911" s="2">
        <v>45324</v>
      </c>
      <c r="I911">
        <v>6</v>
      </c>
      <c r="J911" t="s">
        <v>34</v>
      </c>
      <c r="K911">
        <v>1</v>
      </c>
      <c r="L911" t="s">
        <v>35</v>
      </c>
      <c r="M911" s="9">
        <v>40790</v>
      </c>
      <c r="N911" t="s">
        <v>53</v>
      </c>
      <c r="O911" t="s">
        <v>54</v>
      </c>
      <c r="P911" t="s">
        <v>27</v>
      </c>
      <c r="Q911" s="2">
        <v>45318</v>
      </c>
      <c r="R911" s="13">
        <f t="shared" si="73"/>
        <v>1800</v>
      </c>
      <c r="S911" s="13">
        <f t="shared" si="74"/>
        <v>2701.3186813191801</v>
      </c>
      <c r="T911" s="2">
        <v>45319.25</v>
      </c>
      <c r="U911" t="s">
        <v>64</v>
      </c>
      <c r="V911" t="s">
        <v>29</v>
      </c>
      <c r="W911" t="s">
        <v>43</v>
      </c>
      <c r="X911">
        <v>4</v>
      </c>
      <c r="Y911">
        <v>10</v>
      </c>
      <c r="Z911" t="s">
        <v>68</v>
      </c>
    </row>
    <row r="912" spans="1:26">
      <c r="A912" t="s">
        <v>969</v>
      </c>
      <c r="B912">
        <v>51</v>
      </c>
      <c r="C912" t="str">
        <f t="shared" si="70"/>
        <v>51-65</v>
      </c>
      <c r="D912" t="s">
        <v>52</v>
      </c>
      <c r="E912" s="2">
        <v>45025</v>
      </c>
      <c r="F912" s="2" t="str">
        <f t="shared" ca="1" si="71"/>
        <v>No</v>
      </c>
      <c r="G912" s="2" t="str">
        <f t="shared" si="72"/>
        <v>Apr-2023</v>
      </c>
      <c r="H912" s="2">
        <v>45187</v>
      </c>
      <c r="I912">
        <v>14</v>
      </c>
      <c r="J912" t="s">
        <v>50</v>
      </c>
      <c r="K912">
        <v>2</v>
      </c>
      <c r="L912" t="s">
        <v>66</v>
      </c>
      <c r="M912" s="9">
        <v>19260</v>
      </c>
      <c r="N912" t="s">
        <v>60</v>
      </c>
      <c r="O912" t="s">
        <v>54</v>
      </c>
      <c r="P912" t="s">
        <v>27</v>
      </c>
      <c r="Q912" s="2">
        <v>44994</v>
      </c>
      <c r="R912" s="13">
        <f t="shared" si="73"/>
        <v>87840</v>
      </c>
      <c r="S912" s="13">
        <f t="shared" si="74"/>
        <v>2711.3333333338378</v>
      </c>
      <c r="T912" s="2">
        <v>45055</v>
      </c>
      <c r="U912" t="s">
        <v>55</v>
      </c>
      <c r="V912" t="s">
        <v>29</v>
      </c>
      <c r="W912" t="s">
        <v>47</v>
      </c>
      <c r="X912">
        <v>9</v>
      </c>
      <c r="Y912">
        <v>10</v>
      </c>
      <c r="Z912" t="s">
        <v>68</v>
      </c>
    </row>
    <row r="913" spans="1:26">
      <c r="A913" t="s">
        <v>970</v>
      </c>
      <c r="B913">
        <v>62</v>
      </c>
      <c r="C913" t="str">
        <f t="shared" si="70"/>
        <v>51-65</v>
      </c>
      <c r="D913" t="s">
        <v>41</v>
      </c>
      <c r="E913" s="2">
        <v>45436</v>
      </c>
      <c r="F913" s="2" t="str">
        <f t="shared" ca="1" si="71"/>
        <v>No</v>
      </c>
      <c r="G913" s="2" t="str">
        <f t="shared" si="72"/>
        <v>May-2024</v>
      </c>
      <c r="H913" s="2">
        <v>45449</v>
      </c>
      <c r="I913">
        <v>13</v>
      </c>
      <c r="J913" t="s">
        <v>63</v>
      </c>
      <c r="K913">
        <v>2</v>
      </c>
      <c r="L913" t="s">
        <v>35</v>
      </c>
      <c r="M913" s="9">
        <v>6074</v>
      </c>
      <c r="N913" t="s">
        <v>25</v>
      </c>
      <c r="O913" t="s">
        <v>26</v>
      </c>
      <c r="P913" t="s">
        <v>41</v>
      </c>
      <c r="Q913" s="2">
        <v>45432</v>
      </c>
      <c r="R913" s="13">
        <f t="shared" si="73"/>
        <v>360</v>
      </c>
      <c r="S913" s="13">
        <f t="shared" si="74"/>
        <v>1754.8314606746674</v>
      </c>
      <c r="T913" s="2">
        <v>45432.25</v>
      </c>
      <c r="U913" t="s">
        <v>42</v>
      </c>
      <c r="V913" t="s">
        <v>29</v>
      </c>
      <c r="W913" t="s">
        <v>43</v>
      </c>
      <c r="X913">
        <v>6</v>
      </c>
      <c r="Y913">
        <v>8</v>
      </c>
      <c r="Z913" t="s">
        <v>68</v>
      </c>
    </row>
    <row r="914" spans="1:26">
      <c r="A914" t="s">
        <v>971</v>
      </c>
      <c r="B914">
        <v>57</v>
      </c>
      <c r="C914" t="str">
        <f t="shared" si="70"/>
        <v>51-65</v>
      </c>
      <c r="D914" t="s">
        <v>41</v>
      </c>
      <c r="E914" s="2">
        <v>45073</v>
      </c>
      <c r="F914" s="2" t="str">
        <f t="shared" ca="1" si="71"/>
        <v>No</v>
      </c>
      <c r="G914" s="2" t="str">
        <f t="shared" si="72"/>
        <v>May-2023</v>
      </c>
      <c r="H914" s="2">
        <v>45074</v>
      </c>
      <c r="I914">
        <v>1</v>
      </c>
      <c r="J914" t="s">
        <v>34</v>
      </c>
      <c r="K914">
        <v>5</v>
      </c>
      <c r="L914" t="s">
        <v>24</v>
      </c>
      <c r="M914" s="9">
        <v>47676</v>
      </c>
      <c r="N914" t="s">
        <v>60</v>
      </c>
      <c r="O914" t="s">
        <v>54</v>
      </c>
      <c r="P914" t="s">
        <v>27</v>
      </c>
      <c r="Q914" s="2">
        <v>45070</v>
      </c>
      <c r="R914" s="13">
        <f t="shared" si="73"/>
        <v>2280.0000000034925</v>
      </c>
      <c r="S914" s="13">
        <f t="shared" si="74"/>
        <v>1770.6818181823342</v>
      </c>
      <c r="T914" s="2">
        <v>45071.583333333336</v>
      </c>
      <c r="U914" t="s">
        <v>37</v>
      </c>
      <c r="V914" t="s">
        <v>29</v>
      </c>
      <c r="W914" t="s">
        <v>43</v>
      </c>
      <c r="X914">
        <v>7</v>
      </c>
      <c r="Y914">
        <v>8</v>
      </c>
      <c r="Z914" t="s">
        <v>48</v>
      </c>
    </row>
    <row r="915" spans="1:26">
      <c r="A915" t="s">
        <v>972</v>
      </c>
      <c r="B915">
        <v>66</v>
      </c>
      <c r="C915" t="str">
        <f t="shared" si="70"/>
        <v>66+</v>
      </c>
      <c r="D915" t="s">
        <v>45</v>
      </c>
      <c r="E915" s="2">
        <v>45164</v>
      </c>
      <c r="F915" s="2" t="str">
        <f t="shared" ca="1" si="71"/>
        <v>No</v>
      </c>
      <c r="G915" s="2" t="str">
        <f t="shared" si="72"/>
        <v>Aug-2023</v>
      </c>
      <c r="H915" s="2">
        <v>45178</v>
      </c>
      <c r="I915">
        <v>14</v>
      </c>
      <c r="J915" t="s">
        <v>34</v>
      </c>
      <c r="K915">
        <v>4</v>
      </c>
      <c r="L915" t="s">
        <v>66</v>
      </c>
      <c r="M915" s="9">
        <v>14475</v>
      </c>
      <c r="N915" t="s">
        <v>53</v>
      </c>
      <c r="O915" t="s">
        <v>54</v>
      </c>
      <c r="P915" t="s">
        <v>27</v>
      </c>
      <c r="Q915" s="2">
        <v>45162</v>
      </c>
      <c r="R915" s="13">
        <f t="shared" si="73"/>
        <v>419.99999999650754</v>
      </c>
      <c r="S915" s="13">
        <f t="shared" si="74"/>
        <v>1764.8275862073783</v>
      </c>
      <c r="T915" s="2">
        <v>45162.291666666664</v>
      </c>
      <c r="U915" t="s">
        <v>64</v>
      </c>
      <c r="V915" t="s">
        <v>29</v>
      </c>
      <c r="W915" t="s">
        <v>43</v>
      </c>
      <c r="X915">
        <v>9</v>
      </c>
      <c r="Y915">
        <v>10</v>
      </c>
      <c r="Z915" t="s">
        <v>68</v>
      </c>
    </row>
    <row r="916" spans="1:26">
      <c r="A916" t="s">
        <v>973</v>
      </c>
      <c r="B916">
        <v>79</v>
      </c>
      <c r="C916" t="str">
        <f t="shared" si="70"/>
        <v>66+</v>
      </c>
      <c r="D916" t="s">
        <v>45</v>
      </c>
      <c r="E916" s="2">
        <v>45399</v>
      </c>
      <c r="F916" s="2" t="str">
        <f t="shared" ca="1" si="71"/>
        <v>No</v>
      </c>
      <c r="G916" s="2" t="str">
        <f t="shared" si="72"/>
        <v>Apr-2024</v>
      </c>
      <c r="H916" s="2">
        <v>45410</v>
      </c>
      <c r="I916">
        <v>11</v>
      </c>
      <c r="J916" t="s">
        <v>23</v>
      </c>
      <c r="K916">
        <v>3</v>
      </c>
      <c r="L916" t="s">
        <v>24</v>
      </c>
      <c r="M916" s="9">
        <v>17878</v>
      </c>
      <c r="N916" t="s">
        <v>25</v>
      </c>
      <c r="O916" t="s">
        <v>26</v>
      </c>
      <c r="P916" t="s">
        <v>41</v>
      </c>
      <c r="Q916" s="2">
        <v>45399</v>
      </c>
      <c r="R916" s="13">
        <f t="shared" si="73"/>
        <v>1980</v>
      </c>
      <c r="S916" s="13">
        <f t="shared" si="74"/>
        <v>1780.4651162795976</v>
      </c>
      <c r="T916" s="2">
        <v>45400.375</v>
      </c>
      <c r="U916" t="s">
        <v>42</v>
      </c>
      <c r="V916" t="s">
        <v>29</v>
      </c>
      <c r="W916" t="s">
        <v>47</v>
      </c>
      <c r="X916">
        <v>5</v>
      </c>
      <c r="Y916">
        <v>10</v>
      </c>
      <c r="Z916" t="s">
        <v>68</v>
      </c>
    </row>
    <row r="917" spans="1:26">
      <c r="A917" t="s">
        <v>974</v>
      </c>
      <c r="B917">
        <v>75</v>
      </c>
      <c r="C917" t="str">
        <f t="shared" si="70"/>
        <v>66+</v>
      </c>
      <c r="D917" t="s">
        <v>45</v>
      </c>
      <c r="E917" s="2">
        <v>45187</v>
      </c>
      <c r="F917" s="2" t="str">
        <f t="shared" ca="1" si="71"/>
        <v>No</v>
      </c>
      <c r="G917" s="2" t="str">
        <f t="shared" si="72"/>
        <v>Sep-2023</v>
      </c>
      <c r="H917" s="2">
        <v>45193</v>
      </c>
      <c r="I917">
        <v>6</v>
      </c>
      <c r="J917" t="s">
        <v>40</v>
      </c>
      <c r="K917">
        <v>2</v>
      </c>
      <c r="L917" t="s">
        <v>46</v>
      </c>
      <c r="M917" s="9">
        <v>20120</v>
      </c>
      <c r="N917" t="s">
        <v>60</v>
      </c>
      <c r="O917" t="s">
        <v>26</v>
      </c>
      <c r="P917" t="s">
        <v>27</v>
      </c>
      <c r="Q917" s="2">
        <v>45183</v>
      </c>
      <c r="R917" s="13">
        <f t="shared" si="73"/>
        <v>540</v>
      </c>
      <c r="S917" s="13">
        <f t="shared" si="74"/>
        <v>1778.1176470593578</v>
      </c>
      <c r="T917" s="2">
        <v>45183.375</v>
      </c>
      <c r="U917" t="s">
        <v>28</v>
      </c>
      <c r="V917" t="s">
        <v>29</v>
      </c>
      <c r="W917" t="s">
        <v>47</v>
      </c>
      <c r="X917">
        <v>8</v>
      </c>
      <c r="Y917">
        <v>8</v>
      </c>
      <c r="Z917" t="s">
        <v>68</v>
      </c>
    </row>
    <row r="918" spans="1:26">
      <c r="A918" t="s">
        <v>975</v>
      </c>
      <c r="B918">
        <v>8</v>
      </c>
      <c r="C918" t="str">
        <f t="shared" si="70"/>
        <v>0-17</v>
      </c>
      <c r="D918" t="s">
        <v>52</v>
      </c>
      <c r="E918" s="2">
        <v>45397</v>
      </c>
      <c r="F918" s="2" t="str">
        <f t="shared" ca="1" si="71"/>
        <v>No</v>
      </c>
      <c r="G918" s="2" t="str">
        <f t="shared" si="72"/>
        <v>Apr-2024</v>
      </c>
      <c r="H918" s="2">
        <v>45402</v>
      </c>
      <c r="I918">
        <v>5</v>
      </c>
      <c r="J918" t="s">
        <v>63</v>
      </c>
      <c r="K918">
        <v>4</v>
      </c>
      <c r="L918" t="s">
        <v>24</v>
      </c>
      <c r="M918" s="9">
        <v>28147</v>
      </c>
      <c r="N918" t="s">
        <v>36</v>
      </c>
      <c r="O918" t="s">
        <v>54</v>
      </c>
      <c r="P918" t="s">
        <v>27</v>
      </c>
      <c r="Q918" s="2">
        <v>45569</v>
      </c>
      <c r="R918" s="13">
        <f t="shared" si="73"/>
        <v>45660.000000003492</v>
      </c>
      <c r="S918" s="13">
        <f t="shared" si="74"/>
        <v>1792.8571428576834</v>
      </c>
      <c r="T918" s="2">
        <v>45600.708333333336</v>
      </c>
      <c r="U918" t="s">
        <v>55</v>
      </c>
      <c r="V918" t="s">
        <v>29</v>
      </c>
      <c r="W918" t="s">
        <v>47</v>
      </c>
      <c r="X918">
        <v>10</v>
      </c>
      <c r="Y918">
        <v>12</v>
      </c>
      <c r="Z918" t="s">
        <v>31</v>
      </c>
    </row>
    <row r="919" spans="1:26">
      <c r="A919" t="s">
        <v>976</v>
      </c>
      <c r="B919">
        <v>26</v>
      </c>
      <c r="C919" t="str">
        <f t="shared" si="70"/>
        <v>18-35</v>
      </c>
      <c r="D919" t="s">
        <v>45</v>
      </c>
      <c r="E919" s="2">
        <v>45188</v>
      </c>
      <c r="F919" s="2" t="str">
        <f t="shared" ca="1" si="71"/>
        <v>No</v>
      </c>
      <c r="G919" s="2" t="str">
        <f t="shared" si="72"/>
        <v>Sep-2023</v>
      </c>
      <c r="H919" s="2">
        <v>45190</v>
      </c>
      <c r="I919">
        <v>2</v>
      </c>
      <c r="J919" t="s">
        <v>57</v>
      </c>
      <c r="K919">
        <v>1</v>
      </c>
      <c r="L919" t="s">
        <v>46</v>
      </c>
      <c r="M919" s="9">
        <v>6986</v>
      </c>
      <c r="N919" t="s">
        <v>36</v>
      </c>
      <c r="O919" t="s">
        <v>26</v>
      </c>
      <c r="P919" t="s">
        <v>27</v>
      </c>
      <c r="Q919" s="2">
        <v>45183</v>
      </c>
      <c r="R919" s="13">
        <f t="shared" si="73"/>
        <v>1560.0000000034925</v>
      </c>
      <c r="S919" s="13">
        <f t="shared" si="74"/>
        <v>1264.3373493980953</v>
      </c>
      <c r="T919" s="2">
        <v>45184.083333333336</v>
      </c>
      <c r="U919" t="s">
        <v>42</v>
      </c>
      <c r="V919" t="s">
        <v>38</v>
      </c>
      <c r="W919" t="s">
        <v>43</v>
      </c>
      <c r="X919">
        <v>11</v>
      </c>
      <c r="Y919">
        <v>8</v>
      </c>
      <c r="Z919" t="s">
        <v>31</v>
      </c>
    </row>
    <row r="920" spans="1:26">
      <c r="A920" t="s">
        <v>977</v>
      </c>
      <c r="B920">
        <v>51</v>
      </c>
      <c r="C920" t="str">
        <f t="shared" si="70"/>
        <v>51-65</v>
      </c>
      <c r="D920" t="s">
        <v>52</v>
      </c>
      <c r="E920" s="2">
        <v>45200</v>
      </c>
      <c r="F920" s="2" t="str">
        <f t="shared" ca="1" si="71"/>
        <v>No</v>
      </c>
      <c r="G920" s="2" t="str">
        <f t="shared" si="72"/>
        <v>Oct-2023</v>
      </c>
      <c r="H920" s="2">
        <v>44949</v>
      </c>
      <c r="I920">
        <v>13</v>
      </c>
      <c r="J920" t="s">
        <v>34</v>
      </c>
      <c r="K920">
        <v>5</v>
      </c>
      <c r="L920" t="s">
        <v>46</v>
      </c>
      <c r="M920" s="9">
        <v>48593</v>
      </c>
      <c r="N920" t="s">
        <v>53</v>
      </c>
      <c r="O920" t="s">
        <v>26</v>
      </c>
      <c r="P920" t="s">
        <v>27</v>
      </c>
      <c r="Q920" s="2">
        <v>45078</v>
      </c>
      <c r="R920" s="13">
        <f t="shared" si="73"/>
        <v>300.00000000349246</v>
      </c>
      <c r="S920" s="13">
        <f t="shared" si="74"/>
        <v>1260.7317073175416</v>
      </c>
      <c r="T920" s="2">
        <v>45078.208333333336</v>
      </c>
      <c r="U920" t="s">
        <v>64</v>
      </c>
      <c r="V920" t="s">
        <v>29</v>
      </c>
      <c r="W920" t="s">
        <v>30</v>
      </c>
      <c r="X920">
        <v>4</v>
      </c>
      <c r="Y920">
        <v>12</v>
      </c>
      <c r="Z920" t="s">
        <v>31</v>
      </c>
    </row>
    <row r="921" spans="1:26">
      <c r="A921" t="s">
        <v>978</v>
      </c>
      <c r="B921">
        <v>45</v>
      </c>
      <c r="C921" t="str">
        <f t="shared" si="70"/>
        <v>36-50</v>
      </c>
      <c r="D921" t="s">
        <v>45</v>
      </c>
      <c r="E921" s="2">
        <v>45403</v>
      </c>
      <c r="F921" s="2" t="str">
        <f t="shared" ca="1" si="71"/>
        <v>No</v>
      </c>
      <c r="G921" s="2" t="str">
        <f t="shared" si="72"/>
        <v>Apr-2024</v>
      </c>
      <c r="H921" s="2">
        <v>45409</v>
      </c>
      <c r="I921">
        <v>6</v>
      </c>
      <c r="J921" t="s">
        <v>57</v>
      </c>
      <c r="K921">
        <v>1</v>
      </c>
      <c r="L921" t="s">
        <v>24</v>
      </c>
      <c r="M921" s="9">
        <v>37430</v>
      </c>
      <c r="N921" t="s">
        <v>25</v>
      </c>
      <c r="O921" t="s">
        <v>54</v>
      </c>
      <c r="P921" t="s">
        <v>27</v>
      </c>
      <c r="Q921" s="2">
        <v>45400</v>
      </c>
      <c r="R921" s="13">
        <f t="shared" si="73"/>
        <v>2280.0000000034925</v>
      </c>
      <c r="S921" s="13">
        <f t="shared" si="74"/>
        <v>1272.5925925930237</v>
      </c>
      <c r="T921" s="2">
        <v>45401.583333333336</v>
      </c>
      <c r="U921" t="s">
        <v>64</v>
      </c>
      <c r="V921" t="s">
        <v>29</v>
      </c>
      <c r="W921" t="s">
        <v>43</v>
      </c>
      <c r="X921">
        <v>8</v>
      </c>
      <c r="Y921">
        <v>10</v>
      </c>
      <c r="Z921" t="s">
        <v>48</v>
      </c>
    </row>
    <row r="922" spans="1:26">
      <c r="A922" t="s">
        <v>979</v>
      </c>
      <c r="B922">
        <v>44</v>
      </c>
      <c r="C922" t="str">
        <f t="shared" si="70"/>
        <v>36-50</v>
      </c>
      <c r="D922" t="s">
        <v>33</v>
      </c>
      <c r="E922" s="2">
        <v>45221</v>
      </c>
      <c r="F922" s="2" t="str">
        <f t="shared" ca="1" si="71"/>
        <v>No</v>
      </c>
      <c r="G922" s="2" t="str">
        <f t="shared" si="72"/>
        <v>Oct-2023</v>
      </c>
      <c r="H922" s="2">
        <v>45228</v>
      </c>
      <c r="I922">
        <v>7</v>
      </c>
      <c r="J922" t="s">
        <v>34</v>
      </c>
      <c r="K922">
        <v>2</v>
      </c>
      <c r="L922" t="s">
        <v>24</v>
      </c>
      <c r="M922" s="9">
        <v>46961</v>
      </c>
      <c r="N922" t="s">
        <v>67</v>
      </c>
      <c r="O922" t="s">
        <v>54</v>
      </c>
      <c r="P922" t="s">
        <v>27</v>
      </c>
      <c r="Q922" s="2">
        <v>45216</v>
      </c>
      <c r="R922" s="13">
        <f t="shared" si="73"/>
        <v>2219.9999999965075</v>
      </c>
      <c r="S922" s="13">
        <f t="shared" si="74"/>
        <v>1260.0000000003929</v>
      </c>
      <c r="T922" s="2">
        <v>45217.541666666664</v>
      </c>
      <c r="U922" t="s">
        <v>64</v>
      </c>
      <c r="V922" t="s">
        <v>29</v>
      </c>
      <c r="W922" t="s">
        <v>47</v>
      </c>
      <c r="X922">
        <v>7</v>
      </c>
      <c r="Y922">
        <v>10</v>
      </c>
      <c r="Z922" t="s">
        <v>48</v>
      </c>
    </row>
    <row r="923" spans="1:26">
      <c r="A923" t="s">
        <v>980</v>
      </c>
      <c r="B923">
        <v>5</v>
      </c>
      <c r="C923" t="str">
        <f t="shared" si="70"/>
        <v>0-17</v>
      </c>
      <c r="D923" t="s">
        <v>41</v>
      </c>
      <c r="E923" s="2">
        <v>45236</v>
      </c>
      <c r="F923" s="2" t="str">
        <f t="shared" ca="1" si="71"/>
        <v>No</v>
      </c>
      <c r="G923" s="2" t="str">
        <f t="shared" si="72"/>
        <v>Nov-2023</v>
      </c>
      <c r="H923" s="2">
        <v>45103</v>
      </c>
      <c r="I923">
        <v>15</v>
      </c>
      <c r="J923" t="s">
        <v>57</v>
      </c>
      <c r="K923">
        <v>2</v>
      </c>
      <c r="L923" t="s">
        <v>46</v>
      </c>
      <c r="M923" s="9">
        <v>22430</v>
      </c>
      <c r="N923" t="s">
        <v>25</v>
      </c>
      <c r="O923" t="s">
        <v>54</v>
      </c>
      <c r="P923" t="s">
        <v>27</v>
      </c>
      <c r="Q923" s="2">
        <v>45144</v>
      </c>
      <c r="R923" s="13">
        <f t="shared" si="73"/>
        <v>239.99999999650754</v>
      </c>
      <c r="S923" s="13">
        <f t="shared" si="74"/>
        <v>1247.8481012662648</v>
      </c>
      <c r="T923" s="2">
        <v>45144.166666666664</v>
      </c>
      <c r="U923" t="s">
        <v>42</v>
      </c>
      <c r="V923" t="s">
        <v>38</v>
      </c>
      <c r="W923" t="s">
        <v>30</v>
      </c>
      <c r="X923">
        <v>6</v>
      </c>
      <c r="Y923">
        <v>10</v>
      </c>
      <c r="Z923" t="s">
        <v>68</v>
      </c>
    </row>
    <row r="924" spans="1:26">
      <c r="A924" t="s">
        <v>981</v>
      </c>
      <c r="B924">
        <v>70</v>
      </c>
      <c r="C924" t="str">
        <f t="shared" si="70"/>
        <v>66+</v>
      </c>
      <c r="D924" t="s">
        <v>45</v>
      </c>
      <c r="E924" s="2">
        <v>45002</v>
      </c>
      <c r="F924" s="2" t="str">
        <f t="shared" ca="1" si="71"/>
        <v>No</v>
      </c>
      <c r="G924" s="2" t="str">
        <f t="shared" si="72"/>
        <v>Mar-2023</v>
      </c>
      <c r="H924" s="2">
        <v>45009</v>
      </c>
      <c r="I924">
        <v>7</v>
      </c>
      <c r="J924" t="s">
        <v>63</v>
      </c>
      <c r="K924">
        <v>1</v>
      </c>
      <c r="L924" t="s">
        <v>66</v>
      </c>
      <c r="M924" s="9">
        <v>7176</v>
      </c>
      <c r="N924" t="s">
        <v>36</v>
      </c>
      <c r="O924" t="s">
        <v>54</v>
      </c>
      <c r="P924" t="s">
        <v>27</v>
      </c>
      <c r="Q924" s="2">
        <v>45002</v>
      </c>
      <c r="R924" s="13">
        <f t="shared" si="73"/>
        <v>1679.9999999965075</v>
      </c>
      <c r="S924" s="13">
        <f t="shared" si="74"/>
        <v>1260.7692307697232</v>
      </c>
      <c r="T924" s="2">
        <v>45003.166666666664</v>
      </c>
      <c r="U924" t="s">
        <v>64</v>
      </c>
      <c r="V924" t="s">
        <v>29</v>
      </c>
      <c r="W924" t="s">
        <v>30</v>
      </c>
      <c r="X924">
        <v>7</v>
      </c>
      <c r="Y924">
        <v>12</v>
      </c>
      <c r="Z924" t="s">
        <v>31</v>
      </c>
    </row>
    <row r="925" spans="1:26">
      <c r="A925" t="s">
        <v>982</v>
      </c>
      <c r="B925">
        <v>26</v>
      </c>
      <c r="C925" t="str">
        <f t="shared" si="70"/>
        <v>18-35</v>
      </c>
      <c r="D925" t="s">
        <v>22</v>
      </c>
      <c r="E925" s="2">
        <v>45379</v>
      </c>
      <c r="F925" s="2" t="str">
        <f t="shared" ca="1" si="71"/>
        <v>No</v>
      </c>
      <c r="G925" s="2" t="str">
        <f t="shared" si="72"/>
        <v>Mar-2024</v>
      </c>
      <c r="H925" s="2">
        <v>45539</v>
      </c>
      <c r="I925">
        <v>12</v>
      </c>
      <c r="J925" t="s">
        <v>40</v>
      </c>
      <c r="K925">
        <v>2</v>
      </c>
      <c r="L925" t="s">
        <v>46</v>
      </c>
      <c r="M925" s="9">
        <v>23722</v>
      </c>
      <c r="N925" t="s">
        <v>60</v>
      </c>
      <c r="O925" t="s">
        <v>54</v>
      </c>
      <c r="P925" t="s">
        <v>27</v>
      </c>
      <c r="Q925" s="2">
        <v>45379</v>
      </c>
      <c r="R925" s="13">
        <f t="shared" si="73"/>
        <v>2579.9999999965075</v>
      </c>
      <c r="S925" s="13">
        <f t="shared" si="74"/>
        <v>1255.3246753252197</v>
      </c>
      <c r="T925" s="2">
        <v>45380.791666666664</v>
      </c>
      <c r="U925" t="s">
        <v>42</v>
      </c>
      <c r="V925" t="s">
        <v>29</v>
      </c>
      <c r="W925" t="s">
        <v>47</v>
      </c>
      <c r="X925">
        <v>8</v>
      </c>
      <c r="Y925">
        <v>8</v>
      </c>
      <c r="Z925" t="s">
        <v>48</v>
      </c>
    </row>
    <row r="926" spans="1:26">
      <c r="A926" t="s">
        <v>983</v>
      </c>
      <c r="B926">
        <v>68</v>
      </c>
      <c r="C926" t="str">
        <f t="shared" si="70"/>
        <v>66+</v>
      </c>
      <c r="D926" t="s">
        <v>41</v>
      </c>
      <c r="E926" s="2">
        <v>45280</v>
      </c>
      <c r="F926" s="2" t="str">
        <f t="shared" ca="1" si="71"/>
        <v>No</v>
      </c>
      <c r="G926" s="2" t="str">
        <f t="shared" si="72"/>
        <v>Dec-2023</v>
      </c>
      <c r="H926" s="2">
        <v>45288</v>
      </c>
      <c r="I926">
        <v>8</v>
      </c>
      <c r="J926" t="s">
        <v>63</v>
      </c>
      <c r="K926">
        <v>4</v>
      </c>
      <c r="L926" t="s">
        <v>71</v>
      </c>
      <c r="M926" s="9">
        <v>47815</v>
      </c>
      <c r="N926" t="s">
        <v>67</v>
      </c>
      <c r="O926" t="s">
        <v>26</v>
      </c>
      <c r="P926" t="s">
        <v>27</v>
      </c>
      <c r="Q926" s="2">
        <v>45276</v>
      </c>
      <c r="R926" s="13">
        <f t="shared" si="73"/>
        <v>540</v>
      </c>
      <c r="S926" s="13">
        <f t="shared" si="74"/>
        <v>1237.8947368427027</v>
      </c>
      <c r="T926" s="2">
        <v>45276.375</v>
      </c>
      <c r="U926" t="s">
        <v>64</v>
      </c>
      <c r="V926" t="s">
        <v>29</v>
      </c>
      <c r="W926" t="s">
        <v>30</v>
      </c>
      <c r="X926">
        <v>8</v>
      </c>
      <c r="Y926">
        <v>12</v>
      </c>
      <c r="Z926" t="s">
        <v>31</v>
      </c>
    </row>
    <row r="927" spans="1:26">
      <c r="A927" t="s">
        <v>984</v>
      </c>
      <c r="B927">
        <v>19</v>
      </c>
      <c r="C927" t="str">
        <f t="shared" si="70"/>
        <v>18-35</v>
      </c>
      <c r="D927" t="s">
        <v>41</v>
      </c>
      <c r="E927" s="2">
        <v>44996</v>
      </c>
      <c r="F927" s="2" t="str">
        <f t="shared" ca="1" si="71"/>
        <v>No</v>
      </c>
      <c r="G927" s="2" t="str">
        <f t="shared" si="72"/>
        <v>Mar-2023</v>
      </c>
      <c r="H927" s="2">
        <v>45248</v>
      </c>
      <c r="I927">
        <v>15</v>
      </c>
      <c r="J927" t="s">
        <v>23</v>
      </c>
      <c r="K927">
        <v>2</v>
      </c>
      <c r="L927" t="s">
        <v>46</v>
      </c>
      <c r="M927" s="9">
        <v>23617</v>
      </c>
      <c r="N927" t="s">
        <v>53</v>
      </c>
      <c r="O927" t="s">
        <v>26</v>
      </c>
      <c r="P927" t="s">
        <v>27</v>
      </c>
      <c r="Q927" s="2">
        <v>45229</v>
      </c>
      <c r="R927" s="13">
        <f t="shared" si="73"/>
        <v>959.99999999650754</v>
      </c>
      <c r="S927" s="13">
        <f t="shared" si="74"/>
        <v>1247.2000000006053</v>
      </c>
      <c r="T927" s="2">
        <v>45229.666666666664</v>
      </c>
      <c r="U927" t="s">
        <v>28</v>
      </c>
      <c r="V927" t="s">
        <v>29</v>
      </c>
      <c r="W927" t="s">
        <v>30</v>
      </c>
      <c r="X927">
        <v>9</v>
      </c>
      <c r="Y927">
        <v>8</v>
      </c>
      <c r="Z927" t="s">
        <v>48</v>
      </c>
    </row>
    <row r="928" spans="1:26">
      <c r="A928" t="s">
        <v>985</v>
      </c>
      <c r="B928">
        <v>84</v>
      </c>
      <c r="C928" t="str">
        <f t="shared" si="70"/>
        <v>66+</v>
      </c>
      <c r="D928" t="s">
        <v>45</v>
      </c>
      <c r="E928" s="2">
        <v>45568</v>
      </c>
      <c r="F928" s="2" t="str">
        <f t="shared" ca="1" si="71"/>
        <v>No</v>
      </c>
      <c r="G928" s="2" t="str">
        <f t="shared" si="72"/>
        <v>Oct-2024</v>
      </c>
      <c r="H928" s="2">
        <v>45368</v>
      </c>
      <c r="I928">
        <v>7</v>
      </c>
      <c r="J928" t="s">
        <v>50</v>
      </c>
      <c r="K928">
        <v>5</v>
      </c>
      <c r="L928" t="s">
        <v>66</v>
      </c>
      <c r="M928" s="9">
        <v>32115</v>
      </c>
      <c r="N928" t="s">
        <v>67</v>
      </c>
      <c r="O928" t="s">
        <v>26</v>
      </c>
      <c r="P928" t="s">
        <v>27</v>
      </c>
      <c r="Q928" s="2">
        <v>45476</v>
      </c>
      <c r="R928" s="13">
        <f t="shared" si="73"/>
        <v>1139.9999999965075</v>
      </c>
      <c r="S928" s="13">
        <f t="shared" si="74"/>
        <v>1251.0810810817418</v>
      </c>
      <c r="T928" s="2">
        <v>45476.791666666664</v>
      </c>
      <c r="U928" t="s">
        <v>28</v>
      </c>
      <c r="V928" t="s">
        <v>29</v>
      </c>
      <c r="W928" t="s">
        <v>47</v>
      </c>
      <c r="X928">
        <v>7</v>
      </c>
      <c r="Y928">
        <v>8</v>
      </c>
      <c r="Z928" t="s">
        <v>48</v>
      </c>
    </row>
    <row r="929" spans="1:26">
      <c r="A929" t="s">
        <v>986</v>
      </c>
      <c r="B929">
        <v>20</v>
      </c>
      <c r="C929" t="str">
        <f t="shared" si="70"/>
        <v>18-35</v>
      </c>
      <c r="D929" t="s">
        <v>62</v>
      </c>
      <c r="E929" s="2">
        <v>45183</v>
      </c>
      <c r="F929" s="2" t="str">
        <f t="shared" ca="1" si="71"/>
        <v>No</v>
      </c>
      <c r="G929" s="2" t="str">
        <f t="shared" si="72"/>
        <v>Sep-2023</v>
      </c>
      <c r="H929" s="2">
        <v>45189</v>
      </c>
      <c r="I929">
        <v>6</v>
      </c>
      <c r="J929" t="s">
        <v>40</v>
      </c>
      <c r="K929">
        <v>4</v>
      </c>
      <c r="L929" t="s">
        <v>71</v>
      </c>
      <c r="M929" s="9">
        <v>42376</v>
      </c>
      <c r="N929" t="s">
        <v>53</v>
      </c>
      <c r="O929" t="s">
        <v>26</v>
      </c>
      <c r="P929" t="s">
        <v>27</v>
      </c>
      <c r="Q929" s="2">
        <v>45183</v>
      </c>
      <c r="R929" s="13">
        <f t="shared" si="73"/>
        <v>1020.0000000034925</v>
      </c>
      <c r="S929" s="13">
        <f t="shared" si="74"/>
        <v>1252.6027397267451</v>
      </c>
      <c r="T929" s="2">
        <v>45183.708333333336</v>
      </c>
      <c r="U929" t="s">
        <v>37</v>
      </c>
      <c r="V929" t="s">
        <v>29</v>
      </c>
      <c r="W929" t="s">
        <v>30</v>
      </c>
      <c r="X929">
        <v>7</v>
      </c>
      <c r="Y929">
        <v>8</v>
      </c>
      <c r="Z929" t="s">
        <v>68</v>
      </c>
    </row>
    <row r="930" spans="1:26">
      <c r="A930" t="s">
        <v>987</v>
      </c>
      <c r="B930">
        <v>12</v>
      </c>
      <c r="C930" t="str">
        <f t="shared" si="70"/>
        <v>0-17</v>
      </c>
      <c r="D930" t="s">
        <v>45</v>
      </c>
      <c r="E930" s="2">
        <v>45630</v>
      </c>
      <c r="F930" s="2" t="str">
        <f t="shared" ca="1" si="71"/>
        <v>No</v>
      </c>
      <c r="G930" s="2" t="str">
        <f t="shared" si="72"/>
        <v>Dec-2024</v>
      </c>
      <c r="H930" s="2">
        <v>45397</v>
      </c>
      <c r="I930">
        <v>3</v>
      </c>
      <c r="J930" t="s">
        <v>63</v>
      </c>
      <c r="K930">
        <v>3</v>
      </c>
      <c r="L930" t="s">
        <v>35</v>
      </c>
      <c r="M930" s="9">
        <v>16906</v>
      </c>
      <c r="N930" t="s">
        <v>67</v>
      </c>
      <c r="O930" t="s">
        <v>26</v>
      </c>
      <c r="P930" t="s">
        <v>27</v>
      </c>
      <c r="Q930" s="2">
        <v>45630</v>
      </c>
      <c r="R930" s="13">
        <f t="shared" si="73"/>
        <v>1260</v>
      </c>
      <c r="S930" s="13">
        <f t="shared" si="74"/>
        <v>1255.8333333340124</v>
      </c>
      <c r="T930" s="2">
        <v>45630.875</v>
      </c>
      <c r="U930" t="s">
        <v>64</v>
      </c>
      <c r="V930" t="s">
        <v>29</v>
      </c>
      <c r="W930" t="s">
        <v>30</v>
      </c>
      <c r="X930">
        <v>7</v>
      </c>
      <c r="Y930">
        <v>10</v>
      </c>
      <c r="Z930" t="s">
        <v>68</v>
      </c>
    </row>
    <row r="931" spans="1:26">
      <c r="A931" t="s">
        <v>988</v>
      </c>
      <c r="B931">
        <v>47</v>
      </c>
      <c r="C931" t="str">
        <f t="shared" si="70"/>
        <v>36-50</v>
      </c>
      <c r="D931" t="s">
        <v>41</v>
      </c>
      <c r="E931" s="2">
        <v>45088</v>
      </c>
      <c r="F931" s="2" t="str">
        <f t="shared" ca="1" si="71"/>
        <v>No</v>
      </c>
      <c r="G931" s="2" t="str">
        <f t="shared" si="72"/>
        <v>Jun-2023</v>
      </c>
      <c r="H931" s="2">
        <v>45244</v>
      </c>
      <c r="I931">
        <v>8</v>
      </c>
      <c r="J931" t="s">
        <v>23</v>
      </c>
      <c r="K931">
        <v>2</v>
      </c>
      <c r="L931" t="s">
        <v>35</v>
      </c>
      <c r="M931" s="9">
        <v>45002</v>
      </c>
      <c r="N931" t="s">
        <v>53</v>
      </c>
      <c r="O931" t="s">
        <v>54</v>
      </c>
      <c r="P931" t="s">
        <v>41</v>
      </c>
      <c r="Q931" s="2">
        <v>44968</v>
      </c>
      <c r="R931" s="13">
        <f t="shared" si="73"/>
        <v>40440.000000003492</v>
      </c>
      <c r="S931" s="13">
        <f t="shared" si="74"/>
        <v>1255.7746478880126</v>
      </c>
      <c r="T931" s="2">
        <v>44996.083333333336</v>
      </c>
      <c r="U931" t="s">
        <v>64</v>
      </c>
      <c r="V931" t="s">
        <v>38</v>
      </c>
      <c r="W931" t="s">
        <v>47</v>
      </c>
      <c r="X931">
        <v>4</v>
      </c>
      <c r="Y931">
        <v>8</v>
      </c>
      <c r="Z931" t="s">
        <v>48</v>
      </c>
    </row>
    <row r="932" spans="1:26">
      <c r="A932" t="s">
        <v>989</v>
      </c>
      <c r="B932">
        <v>1</v>
      </c>
      <c r="C932" t="str">
        <f t="shared" si="70"/>
        <v>0-17</v>
      </c>
      <c r="D932" t="s">
        <v>22</v>
      </c>
      <c r="E932" s="2">
        <v>45130</v>
      </c>
      <c r="F932" s="2" t="str">
        <f t="shared" ca="1" si="71"/>
        <v>No</v>
      </c>
      <c r="G932" s="2" t="str">
        <f t="shared" si="72"/>
        <v>Jul-2023</v>
      </c>
      <c r="H932" s="2">
        <v>45024</v>
      </c>
      <c r="I932">
        <v>12</v>
      </c>
      <c r="J932" t="s">
        <v>50</v>
      </c>
      <c r="K932">
        <v>2</v>
      </c>
      <c r="L932" t="s">
        <v>66</v>
      </c>
      <c r="M932" s="9">
        <v>11610</v>
      </c>
      <c r="N932" t="s">
        <v>53</v>
      </c>
      <c r="O932" t="s">
        <v>54</v>
      </c>
      <c r="P932" t="s">
        <v>27</v>
      </c>
      <c r="Q932" s="2">
        <v>45125</v>
      </c>
      <c r="R932" s="13">
        <f t="shared" si="73"/>
        <v>2700</v>
      </c>
      <c r="S932" s="13">
        <f t="shared" si="74"/>
        <v>696.00000000064858</v>
      </c>
      <c r="T932" s="2">
        <v>45126.875</v>
      </c>
      <c r="U932" t="s">
        <v>42</v>
      </c>
      <c r="V932" t="s">
        <v>29</v>
      </c>
      <c r="W932" t="s">
        <v>30</v>
      </c>
      <c r="X932">
        <v>10</v>
      </c>
      <c r="Y932">
        <v>10</v>
      </c>
      <c r="Z932" t="s">
        <v>68</v>
      </c>
    </row>
    <row r="933" spans="1:26">
      <c r="A933" t="s">
        <v>990</v>
      </c>
      <c r="B933">
        <v>14</v>
      </c>
      <c r="C933" t="str">
        <f t="shared" si="70"/>
        <v>0-17</v>
      </c>
      <c r="D933" t="s">
        <v>41</v>
      </c>
      <c r="E933" s="2">
        <v>45320</v>
      </c>
      <c r="F933" s="2" t="str">
        <f t="shared" ca="1" si="71"/>
        <v>No</v>
      </c>
      <c r="G933" s="2" t="str">
        <f t="shared" si="72"/>
        <v>Jan-2024</v>
      </c>
      <c r="H933" s="2">
        <v>45445</v>
      </c>
      <c r="I933">
        <v>8</v>
      </c>
      <c r="J933" t="s">
        <v>23</v>
      </c>
      <c r="K933">
        <v>5</v>
      </c>
      <c r="L933" t="s">
        <v>46</v>
      </c>
      <c r="M933" s="9">
        <v>48292</v>
      </c>
      <c r="N933" t="s">
        <v>67</v>
      </c>
      <c r="O933" t="s">
        <v>26</v>
      </c>
      <c r="P933" t="s">
        <v>27</v>
      </c>
      <c r="Q933" s="2">
        <v>45318</v>
      </c>
      <c r="R933" s="13">
        <f t="shared" si="73"/>
        <v>2880</v>
      </c>
      <c r="S933" s="13">
        <f t="shared" si="74"/>
        <v>666.9565217397884</v>
      </c>
      <c r="T933" s="2">
        <v>45320</v>
      </c>
      <c r="U933" t="s">
        <v>42</v>
      </c>
      <c r="V933" t="s">
        <v>29</v>
      </c>
      <c r="W933" t="s">
        <v>30</v>
      </c>
      <c r="X933">
        <v>8</v>
      </c>
      <c r="Y933">
        <v>8</v>
      </c>
      <c r="Z933" t="s">
        <v>48</v>
      </c>
    </row>
    <row r="934" spans="1:26">
      <c r="A934" t="s">
        <v>991</v>
      </c>
      <c r="B934">
        <v>64</v>
      </c>
      <c r="C934" t="str">
        <f t="shared" si="70"/>
        <v>51-65</v>
      </c>
      <c r="D934" t="s">
        <v>22</v>
      </c>
      <c r="E934" s="2">
        <v>45540</v>
      </c>
      <c r="F934" s="2" t="str">
        <f t="shared" ca="1" si="71"/>
        <v>No</v>
      </c>
      <c r="G934" s="2" t="str">
        <f t="shared" si="72"/>
        <v>Sep-2024</v>
      </c>
      <c r="H934" s="2">
        <v>45427</v>
      </c>
      <c r="I934">
        <v>6</v>
      </c>
      <c r="J934" t="s">
        <v>34</v>
      </c>
      <c r="K934">
        <v>5</v>
      </c>
      <c r="L934" t="s">
        <v>24</v>
      </c>
      <c r="M934" s="9">
        <v>18411</v>
      </c>
      <c r="N934" t="s">
        <v>67</v>
      </c>
      <c r="O934" t="s">
        <v>54</v>
      </c>
      <c r="P934" t="s">
        <v>41</v>
      </c>
      <c r="Q934" s="2">
        <v>45417</v>
      </c>
      <c r="R934" s="13">
        <f t="shared" si="73"/>
        <v>1260</v>
      </c>
      <c r="S934" s="13">
        <f t="shared" si="74"/>
        <v>634.41176470655</v>
      </c>
      <c r="T934" s="2">
        <v>45417.875</v>
      </c>
      <c r="U934" t="s">
        <v>64</v>
      </c>
      <c r="V934" t="s">
        <v>29</v>
      </c>
      <c r="W934" t="s">
        <v>30</v>
      </c>
      <c r="X934">
        <v>5</v>
      </c>
      <c r="Y934">
        <v>8</v>
      </c>
      <c r="Z934" t="s">
        <v>48</v>
      </c>
    </row>
    <row r="935" spans="1:26">
      <c r="A935" t="s">
        <v>992</v>
      </c>
      <c r="B935">
        <v>38</v>
      </c>
      <c r="C935" t="str">
        <f t="shared" si="70"/>
        <v>36-50</v>
      </c>
      <c r="D935" t="s">
        <v>52</v>
      </c>
      <c r="E935" s="2">
        <v>45036</v>
      </c>
      <c r="F935" s="2" t="str">
        <f t="shared" ca="1" si="71"/>
        <v>No</v>
      </c>
      <c r="G935" s="2" t="str">
        <f t="shared" si="72"/>
        <v>Apr-2023</v>
      </c>
      <c r="H935" s="2">
        <v>45051</v>
      </c>
      <c r="I935">
        <v>15</v>
      </c>
      <c r="J935" t="s">
        <v>34</v>
      </c>
      <c r="K935">
        <v>1</v>
      </c>
      <c r="L935" t="s">
        <v>66</v>
      </c>
      <c r="M935" s="9">
        <v>14180</v>
      </c>
      <c r="N935" t="s">
        <v>53</v>
      </c>
      <c r="O935" t="s">
        <v>54</v>
      </c>
      <c r="P935" t="s">
        <v>27</v>
      </c>
      <c r="Q935" s="2">
        <v>45034</v>
      </c>
      <c r="R935" s="13">
        <f t="shared" si="73"/>
        <v>1260</v>
      </c>
      <c r="S935" s="13">
        <f t="shared" si="74"/>
        <v>625.07462686634926</v>
      </c>
      <c r="T935" s="2">
        <v>45034.875</v>
      </c>
      <c r="U935" t="s">
        <v>37</v>
      </c>
      <c r="V935" t="s">
        <v>29</v>
      </c>
      <c r="W935" t="s">
        <v>30</v>
      </c>
      <c r="X935">
        <v>4</v>
      </c>
      <c r="Y935">
        <v>10</v>
      </c>
      <c r="Z935" t="s">
        <v>31</v>
      </c>
    </row>
    <row r="936" spans="1:26">
      <c r="A936" t="s">
        <v>993</v>
      </c>
      <c r="B936">
        <v>37</v>
      </c>
      <c r="C936" t="str">
        <f t="shared" si="70"/>
        <v>36-50</v>
      </c>
      <c r="D936" t="s">
        <v>33</v>
      </c>
      <c r="E936" s="2">
        <v>45169</v>
      </c>
      <c r="F936" s="2" t="str">
        <f t="shared" ca="1" si="71"/>
        <v>No</v>
      </c>
      <c r="G936" s="2" t="str">
        <f t="shared" si="72"/>
        <v>Aug-2023</v>
      </c>
      <c r="H936" s="2">
        <v>45182</v>
      </c>
      <c r="I936">
        <v>13</v>
      </c>
      <c r="J936" t="s">
        <v>57</v>
      </c>
      <c r="K936">
        <v>1</v>
      </c>
      <c r="L936" t="s">
        <v>71</v>
      </c>
      <c r="M936" s="9">
        <v>15073</v>
      </c>
      <c r="N936" t="s">
        <v>36</v>
      </c>
      <c r="O936" t="s">
        <v>54</v>
      </c>
      <c r="P936" t="s">
        <v>27</v>
      </c>
      <c r="Q936" s="2">
        <v>45169</v>
      </c>
      <c r="R936" s="13">
        <f t="shared" si="73"/>
        <v>-336659.99999999651</v>
      </c>
      <c r="S936" s="13">
        <f t="shared" si="74"/>
        <v>615.45454545523341</v>
      </c>
      <c r="T936" s="2">
        <v>44935.208333333336</v>
      </c>
      <c r="U936" t="s">
        <v>64</v>
      </c>
      <c r="V936" t="s">
        <v>29</v>
      </c>
      <c r="W936" t="s">
        <v>47</v>
      </c>
      <c r="X936">
        <v>4</v>
      </c>
      <c r="Y936">
        <v>10</v>
      </c>
      <c r="Z936" t="s">
        <v>68</v>
      </c>
    </row>
    <row r="937" spans="1:26">
      <c r="A937" t="s">
        <v>994</v>
      </c>
      <c r="B937">
        <v>11</v>
      </c>
      <c r="C937" t="str">
        <f t="shared" si="70"/>
        <v>0-17</v>
      </c>
      <c r="D937" t="s">
        <v>41</v>
      </c>
      <c r="E937" s="2">
        <v>45317</v>
      </c>
      <c r="F937" s="2" t="str">
        <f t="shared" ca="1" si="71"/>
        <v>No</v>
      </c>
      <c r="G937" s="2" t="str">
        <f t="shared" si="72"/>
        <v>Jan-2024</v>
      </c>
      <c r="H937" s="2">
        <v>45384</v>
      </c>
      <c r="I937">
        <v>9</v>
      </c>
      <c r="J937" t="s">
        <v>40</v>
      </c>
      <c r="K937">
        <v>1</v>
      </c>
      <c r="L937" t="s">
        <v>71</v>
      </c>
      <c r="M937" s="9">
        <v>42251</v>
      </c>
      <c r="N937" t="s">
        <v>67</v>
      </c>
      <c r="O937" t="s">
        <v>26</v>
      </c>
      <c r="P937" t="s">
        <v>27</v>
      </c>
      <c r="Q937" s="2">
        <v>45313</v>
      </c>
      <c r="R937" s="13">
        <f t="shared" si="73"/>
        <v>1080</v>
      </c>
      <c r="S937" s="13">
        <f t="shared" si="74"/>
        <v>5804.3076923083372</v>
      </c>
      <c r="T937" s="2">
        <v>45313.75</v>
      </c>
      <c r="U937" t="s">
        <v>42</v>
      </c>
      <c r="V937" t="s">
        <v>29</v>
      </c>
      <c r="W937" t="s">
        <v>43</v>
      </c>
      <c r="X937">
        <v>4</v>
      </c>
      <c r="Y937">
        <v>12</v>
      </c>
      <c r="Z937" t="s">
        <v>68</v>
      </c>
    </row>
    <row r="938" spans="1:26">
      <c r="A938" t="s">
        <v>995</v>
      </c>
      <c r="B938">
        <v>77</v>
      </c>
      <c r="C938" t="str">
        <f t="shared" si="70"/>
        <v>66+</v>
      </c>
      <c r="D938" t="s">
        <v>45</v>
      </c>
      <c r="E938" s="2">
        <v>45352</v>
      </c>
      <c r="F938" s="2" t="str">
        <f t="shared" ca="1" si="71"/>
        <v>No</v>
      </c>
      <c r="G938" s="2" t="str">
        <f t="shared" si="72"/>
        <v>Mar-2024</v>
      </c>
      <c r="H938" s="2">
        <v>45505</v>
      </c>
      <c r="I938">
        <v>5</v>
      </c>
      <c r="J938" t="s">
        <v>34</v>
      </c>
      <c r="K938">
        <v>5</v>
      </c>
      <c r="L938" t="s">
        <v>35</v>
      </c>
      <c r="M938" s="9">
        <v>35960</v>
      </c>
      <c r="N938" t="s">
        <v>25</v>
      </c>
      <c r="O938" t="s">
        <v>54</v>
      </c>
      <c r="P938" t="s">
        <v>41</v>
      </c>
      <c r="Q938" s="2">
        <v>45289</v>
      </c>
      <c r="R938" s="13">
        <f t="shared" si="73"/>
        <v>900</v>
      </c>
      <c r="S938" s="13">
        <f t="shared" si="74"/>
        <v>5878.1250000006548</v>
      </c>
      <c r="T938" s="2">
        <v>45289.625</v>
      </c>
      <c r="U938" t="s">
        <v>64</v>
      </c>
      <c r="V938" t="s">
        <v>29</v>
      </c>
      <c r="W938" t="s">
        <v>43</v>
      </c>
      <c r="X938">
        <v>9</v>
      </c>
      <c r="Y938">
        <v>8</v>
      </c>
      <c r="Z938" t="s">
        <v>68</v>
      </c>
    </row>
    <row r="939" spans="1:26">
      <c r="A939" t="s">
        <v>996</v>
      </c>
      <c r="B939">
        <v>3</v>
      </c>
      <c r="C939" t="str">
        <f t="shared" si="70"/>
        <v>0-17</v>
      </c>
      <c r="D939" t="s">
        <v>52</v>
      </c>
      <c r="E939" s="2">
        <v>45229</v>
      </c>
      <c r="F939" s="2" t="str">
        <f t="shared" ca="1" si="71"/>
        <v>No</v>
      </c>
      <c r="G939" s="2" t="str">
        <f t="shared" si="72"/>
        <v>Oct-2023</v>
      </c>
      <c r="H939" s="2">
        <v>45271</v>
      </c>
      <c r="I939">
        <v>13</v>
      </c>
      <c r="J939" t="s">
        <v>23</v>
      </c>
      <c r="K939">
        <v>1</v>
      </c>
      <c r="L939" t="s">
        <v>71</v>
      </c>
      <c r="M939" s="9">
        <v>10901</v>
      </c>
      <c r="N939" t="s">
        <v>60</v>
      </c>
      <c r="O939" t="s">
        <v>26</v>
      </c>
      <c r="P939" t="s">
        <v>27</v>
      </c>
      <c r="Q939" s="2">
        <v>45224</v>
      </c>
      <c r="R939" s="13">
        <f t="shared" si="73"/>
        <v>300.00000000349246</v>
      </c>
      <c r="S939" s="13">
        <f t="shared" si="74"/>
        <v>5957.1428571435226</v>
      </c>
      <c r="T939" s="2">
        <v>45224.208333333336</v>
      </c>
      <c r="U939" t="s">
        <v>42</v>
      </c>
      <c r="V939" t="s">
        <v>29</v>
      </c>
      <c r="W939" t="s">
        <v>30</v>
      </c>
      <c r="X939">
        <v>11</v>
      </c>
      <c r="Y939">
        <v>10</v>
      </c>
      <c r="Z939" t="s">
        <v>31</v>
      </c>
    </row>
    <row r="940" spans="1:26">
      <c r="A940" t="s">
        <v>997</v>
      </c>
      <c r="B940">
        <v>33</v>
      </c>
      <c r="C940" t="str">
        <f t="shared" si="70"/>
        <v>18-35</v>
      </c>
      <c r="D940" t="s">
        <v>33</v>
      </c>
      <c r="E940" s="2">
        <v>45229</v>
      </c>
      <c r="F940" s="2" t="str">
        <f t="shared" ca="1" si="71"/>
        <v>No</v>
      </c>
      <c r="G940" s="2" t="str">
        <f t="shared" si="72"/>
        <v>Oct-2023</v>
      </c>
      <c r="H940" s="2">
        <v>44937</v>
      </c>
      <c r="I940">
        <v>2</v>
      </c>
      <c r="J940" t="s">
        <v>40</v>
      </c>
      <c r="K940">
        <v>1</v>
      </c>
      <c r="L940" t="s">
        <v>66</v>
      </c>
      <c r="M940" s="9">
        <v>43897</v>
      </c>
      <c r="N940" t="s">
        <v>53</v>
      </c>
      <c r="O940" t="s">
        <v>54</v>
      </c>
      <c r="P940" t="s">
        <v>27</v>
      </c>
      <c r="Q940" s="2">
        <v>45226</v>
      </c>
      <c r="R940" s="13">
        <f t="shared" si="73"/>
        <v>779.99999999650754</v>
      </c>
      <c r="S940" s="13">
        <f t="shared" si="74"/>
        <v>6048.3870967748135</v>
      </c>
      <c r="T940" s="2">
        <v>45226.541666666664</v>
      </c>
      <c r="U940" t="s">
        <v>64</v>
      </c>
      <c r="V940" t="s">
        <v>29</v>
      </c>
      <c r="W940" t="s">
        <v>47</v>
      </c>
      <c r="X940">
        <v>10</v>
      </c>
      <c r="Y940">
        <v>12</v>
      </c>
      <c r="Z940" t="s">
        <v>31</v>
      </c>
    </row>
    <row r="941" spans="1:26">
      <c r="A941" t="s">
        <v>998</v>
      </c>
      <c r="B941">
        <v>6</v>
      </c>
      <c r="C941" t="str">
        <f t="shared" si="70"/>
        <v>0-17</v>
      </c>
      <c r="D941" t="s">
        <v>45</v>
      </c>
      <c r="E941" s="2">
        <v>44949</v>
      </c>
      <c r="F941" s="2" t="str">
        <f t="shared" ca="1" si="71"/>
        <v>No</v>
      </c>
      <c r="G941" s="2" t="str">
        <f t="shared" si="72"/>
        <v>Jan-2023</v>
      </c>
      <c r="H941" s="2">
        <v>45018</v>
      </c>
      <c r="I941">
        <v>12</v>
      </c>
      <c r="J941" t="s">
        <v>34</v>
      </c>
      <c r="K941">
        <v>3</v>
      </c>
      <c r="L941" t="s">
        <v>71</v>
      </c>
      <c r="M941" s="9">
        <v>48183</v>
      </c>
      <c r="N941" t="s">
        <v>53</v>
      </c>
      <c r="O941" t="s">
        <v>26</v>
      </c>
      <c r="P941" t="s">
        <v>41</v>
      </c>
      <c r="Q941" s="2">
        <v>44948</v>
      </c>
      <c r="R941" s="13">
        <f t="shared" si="73"/>
        <v>540</v>
      </c>
      <c r="S941" s="13">
        <f t="shared" si="74"/>
        <v>6134.7540983613426</v>
      </c>
      <c r="T941" s="2">
        <v>44948.375</v>
      </c>
      <c r="U941" t="s">
        <v>55</v>
      </c>
      <c r="V941" t="s">
        <v>29</v>
      </c>
      <c r="W941" t="s">
        <v>47</v>
      </c>
      <c r="X941">
        <v>10</v>
      </c>
      <c r="Y941">
        <v>12</v>
      </c>
      <c r="Z941" t="s">
        <v>31</v>
      </c>
    </row>
    <row r="942" spans="1:26">
      <c r="A942" t="s">
        <v>999</v>
      </c>
      <c r="B942">
        <v>50</v>
      </c>
      <c r="C942" t="str">
        <f t="shared" si="70"/>
        <v>36-50</v>
      </c>
      <c r="D942" t="s">
        <v>62</v>
      </c>
      <c r="E942" s="2">
        <v>45567</v>
      </c>
      <c r="F942" s="2" t="str">
        <f t="shared" ca="1" si="71"/>
        <v>No</v>
      </c>
      <c r="G942" s="2" t="str">
        <f t="shared" si="72"/>
        <v>Oct-2024</v>
      </c>
      <c r="H942" s="2">
        <v>45339</v>
      </c>
      <c r="I942">
        <v>7</v>
      </c>
      <c r="J942" t="s">
        <v>57</v>
      </c>
      <c r="K942">
        <v>1</v>
      </c>
      <c r="L942" t="s">
        <v>66</v>
      </c>
      <c r="M942" s="9">
        <v>9482</v>
      </c>
      <c r="N942" t="s">
        <v>60</v>
      </c>
      <c r="O942" t="s">
        <v>54</v>
      </c>
      <c r="P942" t="s">
        <v>27</v>
      </c>
      <c r="Q942" s="2">
        <v>45567</v>
      </c>
      <c r="R942" s="13">
        <f t="shared" si="73"/>
        <v>45480.000000003492</v>
      </c>
      <c r="S942" s="13">
        <f t="shared" si="74"/>
        <v>6228.0000000006985</v>
      </c>
      <c r="T942" s="2">
        <v>45598.583333333336</v>
      </c>
      <c r="U942" t="s">
        <v>42</v>
      </c>
      <c r="V942" t="s">
        <v>29</v>
      </c>
      <c r="W942" t="s">
        <v>30</v>
      </c>
      <c r="X942">
        <v>5</v>
      </c>
      <c r="Y942">
        <v>10</v>
      </c>
      <c r="Z942" t="s">
        <v>68</v>
      </c>
    </row>
    <row r="943" spans="1:26">
      <c r="A943" t="s">
        <v>1000</v>
      </c>
      <c r="B943">
        <v>10</v>
      </c>
      <c r="C943" t="str">
        <f t="shared" si="70"/>
        <v>0-17</v>
      </c>
      <c r="D943" t="s">
        <v>45</v>
      </c>
      <c r="E943" s="2">
        <v>45179</v>
      </c>
      <c r="F943" s="2" t="str">
        <f t="shared" ca="1" si="71"/>
        <v>No</v>
      </c>
      <c r="G943" s="2" t="str">
        <f t="shared" si="72"/>
        <v>Sep-2023</v>
      </c>
      <c r="H943" s="2">
        <v>45240</v>
      </c>
      <c r="I943">
        <v>2</v>
      </c>
      <c r="J943" t="s">
        <v>63</v>
      </c>
      <c r="K943">
        <v>2</v>
      </c>
      <c r="L943" t="s">
        <v>24</v>
      </c>
      <c r="M943" s="9">
        <v>47454</v>
      </c>
      <c r="N943" t="s">
        <v>36</v>
      </c>
      <c r="O943" t="s">
        <v>26</v>
      </c>
      <c r="P943" t="s">
        <v>27</v>
      </c>
      <c r="Q943" s="2">
        <v>45179</v>
      </c>
      <c r="R943" s="13">
        <f t="shared" si="73"/>
        <v>419.99999999650754</v>
      </c>
      <c r="S943" s="13">
        <f t="shared" si="74"/>
        <v>5562.7118644074308</v>
      </c>
      <c r="T943" s="2">
        <v>45179.291666666664</v>
      </c>
      <c r="U943" t="s">
        <v>37</v>
      </c>
      <c r="V943" t="s">
        <v>29</v>
      </c>
      <c r="W943" t="s">
        <v>43</v>
      </c>
      <c r="X943">
        <v>11</v>
      </c>
      <c r="Y943">
        <v>8</v>
      </c>
      <c r="Z943" t="s">
        <v>68</v>
      </c>
    </row>
    <row r="944" spans="1:26">
      <c r="A944" t="s">
        <v>1001</v>
      </c>
      <c r="B944">
        <v>5</v>
      </c>
      <c r="C944" t="str">
        <f t="shared" si="70"/>
        <v>0-17</v>
      </c>
      <c r="D944" t="s">
        <v>22</v>
      </c>
      <c r="E944" s="2">
        <v>45170</v>
      </c>
      <c r="F944" s="2" t="str">
        <f t="shared" ca="1" si="71"/>
        <v>No</v>
      </c>
      <c r="G944" s="2" t="str">
        <f t="shared" si="72"/>
        <v>Sep-2023</v>
      </c>
      <c r="H944" s="2">
        <v>44942</v>
      </c>
      <c r="I944">
        <v>7</v>
      </c>
      <c r="J944" t="s">
        <v>57</v>
      </c>
      <c r="K944">
        <v>5</v>
      </c>
      <c r="L944" t="s">
        <v>35</v>
      </c>
      <c r="M944" s="9">
        <v>30428</v>
      </c>
      <c r="N944" t="s">
        <v>60</v>
      </c>
      <c r="O944" t="s">
        <v>54</v>
      </c>
      <c r="P944" t="s">
        <v>41</v>
      </c>
      <c r="Q944" s="2">
        <v>45047</v>
      </c>
      <c r="R944" s="13">
        <f t="shared" si="73"/>
        <v>599.99999999650754</v>
      </c>
      <c r="S944" s="13">
        <f t="shared" si="74"/>
        <v>5651.37931034555</v>
      </c>
      <c r="T944" s="2">
        <v>45047.416666666664</v>
      </c>
      <c r="U944" t="s">
        <v>55</v>
      </c>
      <c r="V944" t="s">
        <v>29</v>
      </c>
      <c r="W944" t="s">
        <v>30</v>
      </c>
      <c r="X944">
        <v>7</v>
      </c>
      <c r="Y944">
        <v>12</v>
      </c>
      <c r="Z944" t="s">
        <v>68</v>
      </c>
    </row>
    <row r="945" spans="1:26">
      <c r="A945" t="s">
        <v>1002</v>
      </c>
      <c r="B945">
        <v>23</v>
      </c>
      <c r="C945" t="str">
        <f t="shared" si="70"/>
        <v>18-35</v>
      </c>
      <c r="D945" t="s">
        <v>22</v>
      </c>
      <c r="E945" s="2">
        <v>44977</v>
      </c>
      <c r="F945" s="2" t="str">
        <f t="shared" ca="1" si="71"/>
        <v>No</v>
      </c>
      <c r="G945" s="2" t="str">
        <f t="shared" si="72"/>
        <v>Feb-2023</v>
      </c>
      <c r="H945" s="2">
        <v>44960</v>
      </c>
      <c r="I945">
        <v>10</v>
      </c>
      <c r="J945" t="s">
        <v>50</v>
      </c>
      <c r="K945">
        <v>4</v>
      </c>
      <c r="L945" t="s">
        <v>71</v>
      </c>
      <c r="M945" s="9">
        <v>12400</v>
      </c>
      <c r="N945" t="s">
        <v>67</v>
      </c>
      <c r="O945" t="s">
        <v>26</v>
      </c>
      <c r="P945" t="s">
        <v>27</v>
      </c>
      <c r="Q945" s="2">
        <v>44976</v>
      </c>
      <c r="R945" s="13">
        <f t="shared" si="73"/>
        <v>419.99999999650754</v>
      </c>
      <c r="S945" s="13">
        <f t="shared" si="74"/>
        <v>5740.0000000007967</v>
      </c>
      <c r="T945" s="2">
        <v>44976.291666666664</v>
      </c>
      <c r="U945" t="s">
        <v>64</v>
      </c>
      <c r="V945" t="s">
        <v>29</v>
      </c>
      <c r="W945" t="s">
        <v>47</v>
      </c>
      <c r="X945">
        <v>9</v>
      </c>
      <c r="Y945">
        <v>8</v>
      </c>
      <c r="Z945" t="s">
        <v>31</v>
      </c>
    </row>
    <row r="946" spans="1:26">
      <c r="A946" t="s">
        <v>1003</v>
      </c>
      <c r="B946">
        <v>10</v>
      </c>
      <c r="C946" t="str">
        <f t="shared" si="70"/>
        <v>0-17</v>
      </c>
      <c r="D946" t="s">
        <v>62</v>
      </c>
      <c r="E946" s="2">
        <v>45435</v>
      </c>
      <c r="F946" s="2" t="str">
        <f t="shared" ca="1" si="71"/>
        <v>No</v>
      </c>
      <c r="G946" s="2" t="str">
        <f t="shared" si="72"/>
        <v>May-2024</v>
      </c>
      <c r="H946" s="2">
        <v>45449</v>
      </c>
      <c r="I946">
        <v>14</v>
      </c>
      <c r="J946" t="s">
        <v>34</v>
      </c>
      <c r="K946">
        <v>3</v>
      </c>
      <c r="L946" t="s">
        <v>66</v>
      </c>
      <c r="M946" s="9">
        <v>44574</v>
      </c>
      <c r="N946" t="s">
        <v>60</v>
      </c>
      <c r="O946" t="s">
        <v>54</v>
      </c>
      <c r="P946" t="s">
        <v>27</v>
      </c>
      <c r="Q946" s="2">
        <v>45434</v>
      </c>
      <c r="R946" s="13">
        <f t="shared" si="73"/>
        <v>660.00000000349246</v>
      </c>
      <c r="S946" s="13">
        <f t="shared" si="74"/>
        <v>5835.0000000008731</v>
      </c>
      <c r="T946" s="2">
        <v>45434.458333333336</v>
      </c>
      <c r="U946" t="s">
        <v>42</v>
      </c>
      <c r="V946" t="s">
        <v>29</v>
      </c>
      <c r="W946" t="s">
        <v>47</v>
      </c>
      <c r="X946">
        <v>8</v>
      </c>
      <c r="Y946">
        <v>8</v>
      </c>
      <c r="Z946" t="s">
        <v>31</v>
      </c>
    </row>
    <row r="947" spans="1:26">
      <c r="A947" t="s">
        <v>1004</v>
      </c>
      <c r="B947">
        <v>44</v>
      </c>
      <c r="C947" t="str">
        <f t="shared" si="70"/>
        <v>36-50</v>
      </c>
      <c r="D947" t="s">
        <v>52</v>
      </c>
      <c r="E947" s="2">
        <v>45220</v>
      </c>
      <c r="F947" s="2" t="str">
        <f t="shared" ca="1" si="71"/>
        <v>No</v>
      </c>
      <c r="G947" s="2" t="str">
        <f t="shared" si="72"/>
        <v>Oct-2023</v>
      </c>
      <c r="H947" s="2">
        <v>45223</v>
      </c>
      <c r="I947">
        <v>3</v>
      </c>
      <c r="J947" t="s">
        <v>50</v>
      </c>
      <c r="K947">
        <v>5</v>
      </c>
      <c r="L947" t="s">
        <v>46</v>
      </c>
      <c r="M947" s="9">
        <v>48284</v>
      </c>
      <c r="N947" t="s">
        <v>53</v>
      </c>
      <c r="O947" t="s">
        <v>54</v>
      </c>
      <c r="P947" t="s">
        <v>27</v>
      </c>
      <c r="Q947" s="2">
        <v>45219</v>
      </c>
      <c r="R947" s="13">
        <f t="shared" si="73"/>
        <v>1740.0000000034925</v>
      </c>
      <c r="S947" s="13">
        <f t="shared" si="74"/>
        <v>5929.0909090917348</v>
      </c>
      <c r="T947" s="2">
        <v>45220.208333333336</v>
      </c>
      <c r="U947" t="s">
        <v>55</v>
      </c>
      <c r="V947" t="s">
        <v>29</v>
      </c>
      <c r="W947" t="s">
        <v>43</v>
      </c>
      <c r="X947">
        <v>11</v>
      </c>
      <c r="Y947">
        <v>12</v>
      </c>
      <c r="Z947" t="s">
        <v>48</v>
      </c>
    </row>
    <row r="948" spans="1:26">
      <c r="A948" t="s">
        <v>1005</v>
      </c>
      <c r="B948">
        <v>2</v>
      </c>
      <c r="C948" t="str">
        <f t="shared" si="70"/>
        <v>0-17</v>
      </c>
      <c r="D948" t="s">
        <v>33</v>
      </c>
      <c r="E948" s="2">
        <v>45162</v>
      </c>
      <c r="F948" s="2" t="str">
        <f t="shared" ca="1" si="71"/>
        <v>No</v>
      </c>
      <c r="G948" s="2" t="str">
        <f t="shared" si="72"/>
        <v>Aug-2023</v>
      </c>
      <c r="H948" s="2">
        <v>44966</v>
      </c>
      <c r="I948">
        <v>9</v>
      </c>
      <c r="J948" t="s">
        <v>50</v>
      </c>
      <c r="K948">
        <v>5</v>
      </c>
      <c r="L948" t="s">
        <v>35</v>
      </c>
      <c r="M948" s="9">
        <v>12396</v>
      </c>
      <c r="N948" t="s">
        <v>60</v>
      </c>
      <c r="O948" t="s">
        <v>54</v>
      </c>
      <c r="P948" t="s">
        <v>41</v>
      </c>
      <c r="Q948" s="2">
        <v>45158</v>
      </c>
      <c r="R948" s="13">
        <f t="shared" si="73"/>
        <v>1800</v>
      </c>
      <c r="S948" s="13">
        <f t="shared" si="74"/>
        <v>6006.6666666674428</v>
      </c>
      <c r="T948" s="2">
        <v>45159.25</v>
      </c>
      <c r="U948" t="s">
        <v>37</v>
      </c>
      <c r="V948" t="s">
        <v>29</v>
      </c>
      <c r="W948" t="s">
        <v>47</v>
      </c>
      <c r="X948">
        <v>6</v>
      </c>
      <c r="Y948">
        <v>10</v>
      </c>
      <c r="Z948" t="s">
        <v>31</v>
      </c>
    </row>
    <row r="949" spans="1:26">
      <c r="A949" t="s">
        <v>1006</v>
      </c>
      <c r="B949">
        <v>13</v>
      </c>
      <c r="C949" t="str">
        <f t="shared" si="70"/>
        <v>0-17</v>
      </c>
      <c r="D949" t="s">
        <v>45</v>
      </c>
      <c r="E949" s="2">
        <v>45287</v>
      </c>
      <c r="F949" s="2" t="str">
        <f t="shared" ca="1" si="71"/>
        <v>No</v>
      </c>
      <c r="G949" s="2" t="str">
        <f t="shared" si="72"/>
        <v>Dec-2023</v>
      </c>
      <c r="H949" s="2">
        <v>45292</v>
      </c>
      <c r="I949">
        <v>5</v>
      </c>
      <c r="J949" t="s">
        <v>23</v>
      </c>
      <c r="K949">
        <v>2</v>
      </c>
      <c r="L949" t="s">
        <v>24</v>
      </c>
      <c r="M949" s="9">
        <v>12338</v>
      </c>
      <c r="N949" t="s">
        <v>25</v>
      </c>
      <c r="O949" t="s">
        <v>54</v>
      </c>
      <c r="P949" t="s">
        <v>41</v>
      </c>
      <c r="Q949" s="2">
        <v>45283</v>
      </c>
      <c r="R949" s="13">
        <f t="shared" si="73"/>
        <v>1260</v>
      </c>
      <c r="S949" s="13">
        <f t="shared" si="74"/>
        <v>6086.0377358498472</v>
      </c>
      <c r="T949" s="2">
        <v>45283.875</v>
      </c>
      <c r="U949" t="s">
        <v>42</v>
      </c>
      <c r="V949" t="s">
        <v>29</v>
      </c>
      <c r="W949" t="s">
        <v>47</v>
      </c>
      <c r="X949">
        <v>9</v>
      </c>
      <c r="Y949">
        <v>8</v>
      </c>
      <c r="Z949" t="s">
        <v>48</v>
      </c>
    </row>
    <row r="950" spans="1:26">
      <c r="A950" t="s">
        <v>1007</v>
      </c>
      <c r="B950">
        <v>40</v>
      </c>
      <c r="C950" t="str">
        <f t="shared" si="70"/>
        <v>36-50</v>
      </c>
      <c r="D950" t="s">
        <v>22</v>
      </c>
      <c r="E950" s="2">
        <v>45151</v>
      </c>
      <c r="F950" s="2" t="str">
        <f t="shared" ca="1" si="71"/>
        <v>No</v>
      </c>
      <c r="G950" s="2" t="str">
        <f t="shared" si="72"/>
        <v>Aug-2023</v>
      </c>
      <c r="H950" s="2">
        <v>45157</v>
      </c>
      <c r="I950">
        <v>6</v>
      </c>
      <c r="J950" t="s">
        <v>40</v>
      </c>
      <c r="K950">
        <v>1</v>
      </c>
      <c r="L950" t="s">
        <v>66</v>
      </c>
      <c r="M950" s="9">
        <v>47718</v>
      </c>
      <c r="N950" t="s">
        <v>67</v>
      </c>
      <c r="O950" t="s">
        <v>54</v>
      </c>
      <c r="P950" t="s">
        <v>41</v>
      </c>
      <c r="Q950" s="2">
        <v>45238</v>
      </c>
      <c r="R950" s="13">
        <f t="shared" si="73"/>
        <v>43380</v>
      </c>
      <c r="S950" s="13">
        <f t="shared" si="74"/>
        <v>6178.8461538469601</v>
      </c>
      <c r="T950" s="2">
        <v>45268.125</v>
      </c>
      <c r="U950" t="s">
        <v>55</v>
      </c>
      <c r="V950" t="s">
        <v>29</v>
      </c>
      <c r="W950" t="s">
        <v>47</v>
      </c>
      <c r="X950">
        <v>6</v>
      </c>
      <c r="Y950">
        <v>10</v>
      </c>
      <c r="Z950" t="s">
        <v>68</v>
      </c>
    </row>
    <row r="951" spans="1:26">
      <c r="A951" t="s">
        <v>1008</v>
      </c>
      <c r="B951">
        <v>2</v>
      </c>
      <c r="C951" t="str">
        <f t="shared" si="70"/>
        <v>0-17</v>
      </c>
      <c r="D951" t="s">
        <v>52</v>
      </c>
      <c r="E951" s="2">
        <v>45121</v>
      </c>
      <c r="F951" s="2" t="str">
        <f t="shared" ca="1" si="71"/>
        <v>No</v>
      </c>
      <c r="G951" s="2" t="str">
        <f t="shared" si="72"/>
        <v>Jul-2023</v>
      </c>
      <c r="H951" s="2">
        <v>45123</v>
      </c>
      <c r="I951">
        <v>2</v>
      </c>
      <c r="J951" t="s">
        <v>23</v>
      </c>
      <c r="K951">
        <v>2</v>
      </c>
      <c r="L951" t="s">
        <v>24</v>
      </c>
      <c r="M951" s="9">
        <v>17500</v>
      </c>
      <c r="N951" t="s">
        <v>60</v>
      </c>
      <c r="O951" t="s">
        <v>54</v>
      </c>
      <c r="P951" t="s">
        <v>27</v>
      </c>
      <c r="Q951" s="2">
        <v>45267</v>
      </c>
      <c r="R951" s="13">
        <f t="shared" si="73"/>
        <v>480.00000000349246</v>
      </c>
      <c r="S951" s="13">
        <f t="shared" si="74"/>
        <v>5449.4117647067042</v>
      </c>
      <c r="T951" s="2">
        <v>45267.333333333336</v>
      </c>
      <c r="U951" t="s">
        <v>55</v>
      </c>
      <c r="V951" t="s">
        <v>29</v>
      </c>
      <c r="W951" t="s">
        <v>43</v>
      </c>
      <c r="X951">
        <v>8</v>
      </c>
      <c r="Y951">
        <v>12</v>
      </c>
      <c r="Z951" t="s">
        <v>31</v>
      </c>
    </row>
    <row r="952" spans="1:26">
      <c r="A952" t="s">
        <v>1009</v>
      </c>
      <c r="B952">
        <v>84</v>
      </c>
      <c r="C952" t="str">
        <f t="shared" si="70"/>
        <v>66+</v>
      </c>
      <c r="D952" t="s">
        <v>62</v>
      </c>
      <c r="E952" s="2">
        <v>45183</v>
      </c>
      <c r="F952" s="2" t="str">
        <f t="shared" ca="1" si="71"/>
        <v>No</v>
      </c>
      <c r="G952" s="2" t="str">
        <f t="shared" si="72"/>
        <v>Sep-2023</v>
      </c>
      <c r="H952" s="2">
        <v>45185</v>
      </c>
      <c r="I952">
        <v>2</v>
      </c>
      <c r="J952" t="s">
        <v>34</v>
      </c>
      <c r="K952">
        <v>1</v>
      </c>
      <c r="L952" t="s">
        <v>24</v>
      </c>
      <c r="M952" s="9">
        <v>16545</v>
      </c>
      <c r="N952" t="s">
        <v>53</v>
      </c>
      <c r="O952" t="s">
        <v>26</v>
      </c>
      <c r="P952" t="s">
        <v>27</v>
      </c>
      <c r="Q952" s="2">
        <v>45269</v>
      </c>
      <c r="R952" s="13">
        <f t="shared" si="73"/>
        <v>-124619.99999999651</v>
      </c>
      <c r="S952" s="13">
        <f t="shared" si="74"/>
        <v>5548.8000000007687</v>
      </c>
      <c r="T952" s="2">
        <v>45182.458333333336</v>
      </c>
      <c r="U952" t="s">
        <v>55</v>
      </c>
      <c r="V952" t="s">
        <v>29</v>
      </c>
      <c r="W952" t="s">
        <v>47</v>
      </c>
      <c r="X952">
        <v>5</v>
      </c>
      <c r="Y952">
        <v>8</v>
      </c>
      <c r="Z952" t="s">
        <v>68</v>
      </c>
    </row>
    <row r="953" spans="1:26">
      <c r="A953" t="s">
        <v>1010</v>
      </c>
      <c r="B953">
        <v>65</v>
      </c>
      <c r="C953" t="str">
        <f t="shared" si="70"/>
        <v>51-65</v>
      </c>
      <c r="D953" t="s">
        <v>41</v>
      </c>
      <c r="E953" s="2">
        <v>45067</v>
      </c>
      <c r="F953" s="2" t="str">
        <f t="shared" ca="1" si="71"/>
        <v>No</v>
      </c>
      <c r="G953" s="2" t="str">
        <f t="shared" si="72"/>
        <v>May-2023</v>
      </c>
      <c r="H953" s="2">
        <v>45073</v>
      </c>
      <c r="I953">
        <v>6</v>
      </c>
      <c r="J953" t="s">
        <v>50</v>
      </c>
      <c r="K953">
        <v>1</v>
      </c>
      <c r="L953" t="s">
        <v>71</v>
      </c>
      <c r="M953" s="9">
        <v>10241</v>
      </c>
      <c r="N953" t="s">
        <v>67</v>
      </c>
      <c r="O953" t="s">
        <v>26</v>
      </c>
      <c r="P953" t="s">
        <v>41</v>
      </c>
      <c r="Q953" s="2">
        <v>45064</v>
      </c>
      <c r="R953" s="13">
        <f t="shared" si="73"/>
        <v>1380.0000000034925</v>
      </c>
      <c r="S953" s="13">
        <f t="shared" si="74"/>
        <v>8205.3061224496923</v>
      </c>
      <c r="T953" s="2">
        <v>45064.958333333336</v>
      </c>
      <c r="U953" t="s">
        <v>28</v>
      </c>
      <c r="V953" t="s">
        <v>29</v>
      </c>
      <c r="W953" t="s">
        <v>30</v>
      </c>
      <c r="X953">
        <v>10</v>
      </c>
      <c r="Y953">
        <v>10</v>
      </c>
      <c r="Z953" t="s">
        <v>68</v>
      </c>
    </row>
    <row r="954" spans="1:26">
      <c r="A954" t="s">
        <v>1011</v>
      </c>
      <c r="B954">
        <v>63</v>
      </c>
      <c r="C954" t="str">
        <f t="shared" si="70"/>
        <v>51-65</v>
      </c>
      <c r="D954" t="s">
        <v>22</v>
      </c>
      <c r="E954" s="2">
        <v>45203</v>
      </c>
      <c r="F954" s="2" t="str">
        <f t="shared" ca="1" si="71"/>
        <v>No</v>
      </c>
      <c r="G954" s="2" t="str">
        <f t="shared" si="72"/>
        <v>Oct-2023</v>
      </c>
      <c r="H954" s="2">
        <v>45037</v>
      </c>
      <c r="I954">
        <v>11</v>
      </c>
      <c r="J954" t="s">
        <v>63</v>
      </c>
      <c r="K954">
        <v>5</v>
      </c>
      <c r="L954" t="s">
        <v>71</v>
      </c>
      <c r="M954" s="9">
        <v>28778</v>
      </c>
      <c r="N954" t="s">
        <v>53</v>
      </c>
      <c r="O954" t="s">
        <v>54</v>
      </c>
      <c r="P954" t="s">
        <v>41</v>
      </c>
      <c r="Q954" s="2">
        <v>45203</v>
      </c>
      <c r="R954" s="13">
        <f t="shared" si="73"/>
        <v>840.00000000349246</v>
      </c>
      <c r="S954" s="13">
        <f t="shared" si="74"/>
        <v>8347.5000000006548</v>
      </c>
      <c r="T954" s="2">
        <v>45203.583333333336</v>
      </c>
      <c r="U954" t="s">
        <v>64</v>
      </c>
      <c r="V954" t="s">
        <v>38</v>
      </c>
      <c r="W954" t="s">
        <v>43</v>
      </c>
      <c r="X954">
        <v>6</v>
      </c>
      <c r="Y954">
        <v>10</v>
      </c>
      <c r="Z954" t="s">
        <v>68</v>
      </c>
    </row>
    <row r="955" spans="1:26">
      <c r="A955" t="s">
        <v>1012</v>
      </c>
      <c r="B955">
        <v>73</v>
      </c>
      <c r="C955" t="str">
        <f t="shared" si="70"/>
        <v>66+</v>
      </c>
      <c r="D955" t="s">
        <v>62</v>
      </c>
      <c r="E955" s="2">
        <v>45201</v>
      </c>
      <c r="F955" s="2" t="str">
        <f t="shared" ca="1" si="71"/>
        <v>No</v>
      </c>
      <c r="G955" s="2" t="str">
        <f t="shared" si="72"/>
        <v>Oct-2023</v>
      </c>
      <c r="H955" s="2">
        <v>44972</v>
      </c>
      <c r="I955">
        <v>5</v>
      </c>
      <c r="J955" t="s">
        <v>50</v>
      </c>
      <c r="K955">
        <v>1</v>
      </c>
      <c r="L955" t="s">
        <v>66</v>
      </c>
      <c r="M955" s="9">
        <v>27821</v>
      </c>
      <c r="N955" t="s">
        <v>36</v>
      </c>
      <c r="O955" t="s">
        <v>26</v>
      </c>
      <c r="P955" t="s">
        <v>27</v>
      </c>
      <c r="Q955" s="2">
        <v>45140</v>
      </c>
      <c r="R955" s="13">
        <f t="shared" si="73"/>
        <v>44940.000000003492</v>
      </c>
      <c r="S955" s="13">
        <f t="shared" si="74"/>
        <v>8507.2340425537859</v>
      </c>
      <c r="T955" s="2">
        <v>45171.208333333336</v>
      </c>
      <c r="U955" t="s">
        <v>42</v>
      </c>
      <c r="V955" t="s">
        <v>29</v>
      </c>
      <c r="W955" t="s">
        <v>30</v>
      </c>
      <c r="X955">
        <v>4</v>
      </c>
      <c r="Y955">
        <v>8</v>
      </c>
      <c r="Z955" t="s">
        <v>68</v>
      </c>
    </row>
    <row r="956" spans="1:26">
      <c r="A956" t="s">
        <v>1013</v>
      </c>
      <c r="B956">
        <v>17</v>
      </c>
      <c r="C956" t="str">
        <f t="shared" si="70"/>
        <v>0-17</v>
      </c>
      <c r="D956" t="s">
        <v>45</v>
      </c>
      <c r="E956" s="2">
        <v>45243</v>
      </c>
      <c r="F956" s="2" t="str">
        <f t="shared" ca="1" si="71"/>
        <v>No</v>
      </c>
      <c r="G956" s="2" t="str">
        <f t="shared" si="72"/>
        <v>Nov-2023</v>
      </c>
      <c r="H956" s="2">
        <v>45248</v>
      </c>
      <c r="I956">
        <v>5</v>
      </c>
      <c r="J956" t="s">
        <v>63</v>
      </c>
      <c r="K956">
        <v>3</v>
      </c>
      <c r="L956" t="s">
        <v>46</v>
      </c>
      <c r="M956" s="9">
        <v>9695</v>
      </c>
      <c r="N956" t="s">
        <v>25</v>
      </c>
      <c r="O956" t="s">
        <v>54</v>
      </c>
      <c r="P956" t="s">
        <v>27</v>
      </c>
      <c r="Q956" s="2">
        <v>45210</v>
      </c>
      <c r="R956" s="13">
        <f t="shared" si="73"/>
        <v>1200.0000000034925</v>
      </c>
      <c r="S956" s="13">
        <f t="shared" si="74"/>
        <v>7715.2173913048791</v>
      </c>
      <c r="T956" s="2">
        <v>45210.833333333336</v>
      </c>
      <c r="U956" t="s">
        <v>42</v>
      </c>
      <c r="V956" t="s">
        <v>29</v>
      </c>
      <c r="W956" t="s">
        <v>30</v>
      </c>
      <c r="X956">
        <v>9</v>
      </c>
      <c r="Y956">
        <v>10</v>
      </c>
      <c r="Z956" t="s">
        <v>31</v>
      </c>
    </row>
    <row r="957" spans="1:26">
      <c r="A957" t="s">
        <v>1014</v>
      </c>
      <c r="B957">
        <v>9</v>
      </c>
      <c r="C957" t="str">
        <f t="shared" si="70"/>
        <v>0-17</v>
      </c>
      <c r="D957" t="s">
        <v>33</v>
      </c>
      <c r="E957" s="2">
        <v>45378</v>
      </c>
      <c r="F957" s="2" t="str">
        <f t="shared" ca="1" si="71"/>
        <v>No</v>
      </c>
      <c r="G957" s="2" t="str">
        <f t="shared" si="72"/>
        <v>Mar-2024</v>
      </c>
      <c r="H957" s="2">
        <v>45386</v>
      </c>
      <c r="I957">
        <v>8</v>
      </c>
      <c r="J957" t="s">
        <v>23</v>
      </c>
      <c r="K957">
        <v>3</v>
      </c>
      <c r="L957" t="s">
        <v>66</v>
      </c>
      <c r="M957" s="9">
        <v>16530</v>
      </c>
      <c r="N957" t="s">
        <v>36</v>
      </c>
      <c r="O957" t="s">
        <v>54</v>
      </c>
      <c r="P957" t="s">
        <v>27</v>
      </c>
      <c r="Q957" s="2">
        <v>45375</v>
      </c>
      <c r="R957" s="13">
        <f t="shared" si="73"/>
        <v>1800</v>
      </c>
      <c r="S957" s="13">
        <f t="shared" si="74"/>
        <v>7860.0000000004657</v>
      </c>
      <c r="T957" s="2">
        <v>45376.25</v>
      </c>
      <c r="U957" t="s">
        <v>42</v>
      </c>
      <c r="V957" t="s">
        <v>38</v>
      </c>
      <c r="W957" t="s">
        <v>43</v>
      </c>
      <c r="X957">
        <v>11</v>
      </c>
      <c r="Y957">
        <v>10</v>
      </c>
      <c r="Z957" t="s">
        <v>68</v>
      </c>
    </row>
    <row r="958" spans="1:26">
      <c r="A958" t="s">
        <v>1015</v>
      </c>
      <c r="B958">
        <v>75</v>
      </c>
      <c r="C958" t="str">
        <f t="shared" si="70"/>
        <v>66+</v>
      </c>
      <c r="D958" t="s">
        <v>22</v>
      </c>
      <c r="E958" s="2">
        <v>45018</v>
      </c>
      <c r="F958" s="2" t="str">
        <f t="shared" ca="1" si="71"/>
        <v>No</v>
      </c>
      <c r="G958" s="2" t="str">
        <f t="shared" si="72"/>
        <v>Apr-2023</v>
      </c>
      <c r="H958" s="2">
        <v>44971</v>
      </c>
      <c r="I958">
        <v>10</v>
      </c>
      <c r="J958" t="s">
        <v>23</v>
      </c>
      <c r="K958">
        <v>3</v>
      </c>
      <c r="L958" t="s">
        <v>46</v>
      </c>
      <c r="M958" s="9">
        <v>19318</v>
      </c>
      <c r="N958" t="s">
        <v>25</v>
      </c>
      <c r="O958" t="s">
        <v>54</v>
      </c>
      <c r="P958" t="s">
        <v>27</v>
      </c>
      <c r="Q958" s="2">
        <v>44957</v>
      </c>
      <c r="R958" s="13">
        <f t="shared" si="73"/>
        <v>1020.0000000034925</v>
      </c>
      <c r="S958" s="13">
        <f t="shared" si="74"/>
        <v>7997.7272727277486</v>
      </c>
      <c r="T958" s="2">
        <v>44957.708333333336</v>
      </c>
      <c r="U958" t="s">
        <v>55</v>
      </c>
      <c r="V958" t="s">
        <v>29</v>
      </c>
      <c r="W958" t="s">
        <v>30</v>
      </c>
      <c r="X958">
        <v>11</v>
      </c>
      <c r="Y958">
        <v>12</v>
      </c>
      <c r="Z958" t="s">
        <v>48</v>
      </c>
    </row>
    <row r="959" spans="1:26">
      <c r="A959" t="s">
        <v>1016</v>
      </c>
      <c r="B959">
        <v>15</v>
      </c>
      <c r="C959" t="str">
        <f t="shared" si="70"/>
        <v>0-17</v>
      </c>
      <c r="D959" t="s">
        <v>22</v>
      </c>
      <c r="E959" s="2">
        <v>45536</v>
      </c>
      <c r="F959" s="2" t="str">
        <f t="shared" ca="1" si="71"/>
        <v>No</v>
      </c>
      <c r="G959" s="2" t="str">
        <f t="shared" si="72"/>
        <v>Sep-2024</v>
      </c>
      <c r="H959" s="2">
        <v>45312</v>
      </c>
      <c r="I959">
        <v>12</v>
      </c>
      <c r="J959" t="s">
        <v>40</v>
      </c>
      <c r="K959">
        <v>5</v>
      </c>
      <c r="L959" t="s">
        <v>24</v>
      </c>
      <c r="M959" s="9">
        <v>27331</v>
      </c>
      <c r="N959" t="s">
        <v>60</v>
      </c>
      <c r="O959" t="s">
        <v>54</v>
      </c>
      <c r="P959" t="s">
        <v>27</v>
      </c>
      <c r="Q959" s="2">
        <v>45505</v>
      </c>
      <c r="R959" s="13">
        <f t="shared" si="73"/>
        <v>480.00000000349246</v>
      </c>
      <c r="S959" s="13">
        <f t="shared" si="74"/>
        <v>8160.0000000004065</v>
      </c>
      <c r="T959" s="2">
        <v>45505.333333333336</v>
      </c>
      <c r="U959" t="s">
        <v>64</v>
      </c>
      <c r="V959" t="s">
        <v>29</v>
      </c>
      <c r="W959" t="s">
        <v>43</v>
      </c>
      <c r="X959">
        <v>6</v>
      </c>
      <c r="Y959">
        <v>12</v>
      </c>
      <c r="Z959" t="s">
        <v>31</v>
      </c>
    </row>
    <row r="960" spans="1:26">
      <c r="A960" t="s">
        <v>1017</v>
      </c>
      <c r="B960">
        <v>24</v>
      </c>
      <c r="C960" t="str">
        <f t="shared" si="70"/>
        <v>18-35</v>
      </c>
      <c r="D960" t="s">
        <v>45</v>
      </c>
      <c r="E960" s="2">
        <v>45061</v>
      </c>
      <c r="F960" s="2" t="str">
        <f t="shared" ca="1" si="71"/>
        <v>No</v>
      </c>
      <c r="G960" s="2" t="str">
        <f t="shared" si="72"/>
        <v>May-2023</v>
      </c>
      <c r="H960" s="2">
        <v>45068</v>
      </c>
      <c r="I960">
        <v>7</v>
      </c>
      <c r="J960" t="s">
        <v>50</v>
      </c>
      <c r="K960">
        <v>2</v>
      </c>
      <c r="L960" t="s">
        <v>35</v>
      </c>
      <c r="M960" s="9">
        <v>31355</v>
      </c>
      <c r="N960" t="s">
        <v>67</v>
      </c>
      <c r="O960" t="s">
        <v>54</v>
      </c>
      <c r="P960" t="s">
        <v>41</v>
      </c>
      <c r="Q960" s="2">
        <v>45204</v>
      </c>
      <c r="R960" s="13">
        <f t="shared" si="73"/>
        <v>360</v>
      </c>
      <c r="S960" s="13">
        <f t="shared" si="74"/>
        <v>8342.857142857476</v>
      </c>
      <c r="T960" s="2">
        <v>45204.25</v>
      </c>
      <c r="U960" t="s">
        <v>37</v>
      </c>
      <c r="V960" t="s">
        <v>29</v>
      </c>
      <c r="W960" t="s">
        <v>30</v>
      </c>
      <c r="X960">
        <v>8</v>
      </c>
      <c r="Y960">
        <v>10</v>
      </c>
      <c r="Z960" t="s">
        <v>68</v>
      </c>
    </row>
    <row r="961" spans="1:26">
      <c r="A961" t="s">
        <v>1018</v>
      </c>
      <c r="B961">
        <v>38</v>
      </c>
      <c r="C961" t="str">
        <f t="shared" si="70"/>
        <v>36-50</v>
      </c>
      <c r="D961" t="s">
        <v>41</v>
      </c>
      <c r="E961" s="2">
        <v>44989</v>
      </c>
      <c r="F961" s="2" t="str">
        <f t="shared" ca="1" si="71"/>
        <v>No</v>
      </c>
      <c r="G961" s="2" t="str">
        <f t="shared" si="72"/>
        <v>Mar-2023</v>
      </c>
      <c r="H961" s="2">
        <v>45081</v>
      </c>
      <c r="I961">
        <v>3</v>
      </c>
      <c r="J961" t="s">
        <v>57</v>
      </c>
      <c r="K961">
        <v>4</v>
      </c>
      <c r="L961" t="s">
        <v>66</v>
      </c>
      <c r="M961" s="9">
        <v>16324</v>
      </c>
      <c r="N961" t="s">
        <v>60</v>
      </c>
      <c r="O961" t="s">
        <v>26</v>
      </c>
      <c r="P961" t="s">
        <v>27</v>
      </c>
      <c r="Q961" s="2">
        <v>44961</v>
      </c>
      <c r="R961" s="13">
        <f t="shared" si="73"/>
        <v>660.00000000349246</v>
      </c>
      <c r="S961" s="13">
        <f t="shared" si="74"/>
        <v>8537.5609756100966</v>
      </c>
      <c r="T961" s="2">
        <v>44961.458333333336</v>
      </c>
      <c r="U961" t="s">
        <v>42</v>
      </c>
      <c r="V961" t="s">
        <v>29</v>
      </c>
      <c r="W961" t="s">
        <v>43</v>
      </c>
      <c r="X961">
        <v>10</v>
      </c>
      <c r="Y961">
        <v>10</v>
      </c>
      <c r="Z961" t="s">
        <v>31</v>
      </c>
    </row>
    <row r="962" spans="1:26">
      <c r="A962" t="s">
        <v>1019</v>
      </c>
      <c r="B962">
        <v>35</v>
      </c>
      <c r="C962" t="str">
        <f t="shared" si="70"/>
        <v>18-35</v>
      </c>
      <c r="D962" t="s">
        <v>52</v>
      </c>
      <c r="E962" s="2">
        <v>45229</v>
      </c>
      <c r="F962" s="2" t="str">
        <f t="shared" ca="1" si="71"/>
        <v>No</v>
      </c>
      <c r="G962" s="2" t="str">
        <f t="shared" si="72"/>
        <v>Oct-2023</v>
      </c>
      <c r="H962" s="2">
        <v>45241</v>
      </c>
      <c r="I962">
        <v>12</v>
      </c>
      <c r="J962" t="s">
        <v>23</v>
      </c>
      <c r="K962">
        <v>1</v>
      </c>
      <c r="L962" t="s">
        <v>66</v>
      </c>
      <c r="M962" s="9">
        <v>33149</v>
      </c>
      <c r="N962" t="s">
        <v>25</v>
      </c>
      <c r="O962" t="s">
        <v>54</v>
      </c>
      <c r="P962" t="s">
        <v>27</v>
      </c>
      <c r="Q962" s="2">
        <v>45227</v>
      </c>
      <c r="R962" s="13">
        <f t="shared" si="73"/>
        <v>2640.0000000034925</v>
      </c>
      <c r="S962" s="13">
        <f t="shared" si="74"/>
        <v>8734.5000000002619</v>
      </c>
      <c r="T962" s="2">
        <v>45228.833333333336</v>
      </c>
      <c r="U962" t="s">
        <v>64</v>
      </c>
      <c r="V962" t="s">
        <v>29</v>
      </c>
      <c r="W962" t="s">
        <v>47</v>
      </c>
      <c r="X962">
        <v>4</v>
      </c>
      <c r="Y962">
        <v>8</v>
      </c>
      <c r="Z962" t="s">
        <v>48</v>
      </c>
    </row>
    <row r="963" spans="1:26">
      <c r="A963" t="s">
        <v>1020</v>
      </c>
      <c r="B963">
        <v>49</v>
      </c>
      <c r="C963" t="str">
        <f t="shared" ref="C963:C1001" si="75">IF(B963&lt;18,"0-17",IF(B963&lt;=35,"18-35",IF(B963&lt;=50,"36-50",IF(B963&lt;=65,"51-65","66+"))))</f>
        <v>36-50</v>
      </c>
      <c r="D963" t="s">
        <v>33</v>
      </c>
      <c r="E963" s="2">
        <v>44938</v>
      </c>
      <c r="F963" s="2" t="str">
        <f t="shared" ref="F963:F1001" ca="1" si="76">IF(E963&gt;=EDATE(TODAY(),-12),"Yes","No")</f>
        <v>No</v>
      </c>
      <c r="G963" s="2" t="str">
        <f t="shared" ref="G963:G1001" si="77">TEXT(E963,"mmm-yyyy")</f>
        <v>Jan-2023</v>
      </c>
      <c r="H963" s="2">
        <v>45181</v>
      </c>
      <c r="I963">
        <v>8</v>
      </c>
      <c r="J963" t="s">
        <v>23</v>
      </c>
      <c r="K963">
        <v>4</v>
      </c>
      <c r="L963" t="s">
        <v>46</v>
      </c>
      <c r="M963" s="9">
        <v>8218</v>
      </c>
      <c r="N963" t="s">
        <v>25</v>
      </c>
      <c r="O963" t="s">
        <v>54</v>
      </c>
      <c r="P963" t="s">
        <v>27</v>
      </c>
      <c r="Q963" s="2">
        <v>45256</v>
      </c>
      <c r="R963" s="13">
        <f>(T963-Q963)*1440</f>
        <v>1200.0000000034925</v>
      </c>
      <c r="S963" s="13">
        <f t="shared" ref="S963:S1001" si="78">AVERAGE(R963:R1461)</f>
        <v>8890.7692307694106</v>
      </c>
      <c r="T963" s="2">
        <v>45256.833333333336</v>
      </c>
      <c r="U963" t="s">
        <v>64</v>
      </c>
      <c r="V963" t="s">
        <v>38</v>
      </c>
      <c r="W963" t="s">
        <v>47</v>
      </c>
      <c r="X963">
        <v>11</v>
      </c>
      <c r="Y963">
        <v>12</v>
      </c>
      <c r="Z963" t="s">
        <v>68</v>
      </c>
    </row>
    <row r="964" spans="1:26">
      <c r="A964" t="s">
        <v>1021</v>
      </c>
      <c r="B964">
        <v>69</v>
      </c>
      <c r="C964" t="str">
        <f t="shared" si="75"/>
        <v>66+</v>
      </c>
      <c r="D964" t="s">
        <v>22</v>
      </c>
      <c r="E964" s="2">
        <v>45294</v>
      </c>
      <c r="F964" s="2" t="str">
        <f t="shared" ca="1" si="76"/>
        <v>No</v>
      </c>
      <c r="G964" s="2" t="str">
        <f t="shared" si="77"/>
        <v>Jan-2024</v>
      </c>
      <c r="H964" s="2">
        <v>45476</v>
      </c>
      <c r="I964">
        <v>6</v>
      </c>
      <c r="J964" t="s">
        <v>40</v>
      </c>
      <c r="K964">
        <v>2</v>
      </c>
      <c r="L964" t="s">
        <v>24</v>
      </c>
      <c r="M964" s="9">
        <v>25141</v>
      </c>
      <c r="N964" t="s">
        <v>25</v>
      </c>
      <c r="O964" t="s">
        <v>54</v>
      </c>
      <c r="P964" t="s">
        <v>27</v>
      </c>
      <c r="Q964" s="2">
        <v>45294</v>
      </c>
      <c r="R964" s="13">
        <f>(T964-Q964)*1440</f>
        <v>45959.999999996508</v>
      </c>
      <c r="S964" s="13">
        <f t="shared" si="78"/>
        <v>9093.1578947369344</v>
      </c>
      <c r="T964" s="2">
        <v>45325.916666666664</v>
      </c>
      <c r="U964" t="s">
        <v>28</v>
      </c>
      <c r="V964" t="s">
        <v>29</v>
      </c>
      <c r="W964" t="s">
        <v>30</v>
      </c>
      <c r="X964">
        <v>6</v>
      </c>
      <c r="Y964">
        <v>8</v>
      </c>
      <c r="Z964" t="s">
        <v>48</v>
      </c>
    </row>
    <row r="965" spans="1:26">
      <c r="A965" t="s">
        <v>1022</v>
      </c>
      <c r="B965">
        <v>62</v>
      </c>
      <c r="C965" t="str">
        <f t="shared" si="75"/>
        <v>51-65</v>
      </c>
      <c r="D965" t="s">
        <v>33</v>
      </c>
      <c r="E965" s="2">
        <v>45106</v>
      </c>
      <c r="F965" s="2" t="str">
        <f t="shared" ca="1" si="76"/>
        <v>No</v>
      </c>
      <c r="G965" s="2" t="str">
        <f t="shared" si="77"/>
        <v>Jun-2023</v>
      </c>
      <c r="H965" s="2">
        <v>45114</v>
      </c>
      <c r="I965">
        <v>8</v>
      </c>
      <c r="J965" t="s">
        <v>63</v>
      </c>
      <c r="K965">
        <v>2</v>
      </c>
      <c r="L965" t="s">
        <v>24</v>
      </c>
      <c r="M965" s="9">
        <v>41784</v>
      </c>
      <c r="N965" t="s">
        <v>53</v>
      </c>
      <c r="O965" t="s">
        <v>26</v>
      </c>
      <c r="P965" t="s">
        <v>41</v>
      </c>
      <c r="Q965" s="2">
        <v>45101</v>
      </c>
      <c r="R965" s="13">
        <f>(T965-Q965)*1440</f>
        <v>2700</v>
      </c>
      <c r="S965" s="13">
        <f t="shared" si="78"/>
        <v>8096.7567567569458</v>
      </c>
      <c r="T965" s="2">
        <v>45102.875</v>
      </c>
      <c r="U965" t="s">
        <v>42</v>
      </c>
      <c r="V965" t="s">
        <v>29</v>
      </c>
      <c r="W965" t="s">
        <v>47</v>
      </c>
      <c r="X965">
        <v>10</v>
      </c>
      <c r="Y965">
        <v>10</v>
      </c>
      <c r="Z965" t="s">
        <v>68</v>
      </c>
    </row>
    <row r="966" spans="1:26">
      <c r="A966" t="s">
        <v>1023</v>
      </c>
      <c r="B966">
        <v>60</v>
      </c>
      <c r="C966" t="str">
        <f t="shared" si="75"/>
        <v>51-65</v>
      </c>
      <c r="D966" t="s">
        <v>22</v>
      </c>
      <c r="E966" s="2">
        <v>45132</v>
      </c>
      <c r="F966" s="2" t="str">
        <f t="shared" ca="1" si="76"/>
        <v>No</v>
      </c>
      <c r="G966" s="2" t="str">
        <f t="shared" si="77"/>
        <v>Jul-2023</v>
      </c>
      <c r="H966" s="2">
        <v>45133</v>
      </c>
      <c r="I966">
        <v>1</v>
      </c>
      <c r="J966" t="s">
        <v>40</v>
      </c>
      <c r="K966">
        <v>5</v>
      </c>
      <c r="L966" t="s">
        <v>46</v>
      </c>
      <c r="M966" s="9">
        <v>7837</v>
      </c>
      <c r="N966" t="s">
        <v>67</v>
      </c>
      <c r="O966" t="s">
        <v>54</v>
      </c>
      <c r="P966" t="s">
        <v>41</v>
      </c>
      <c r="Q966" s="2">
        <v>45127</v>
      </c>
      <c r="R966" s="13">
        <f>(T966-Q966)*1440</f>
        <v>2340</v>
      </c>
      <c r="S966" s="13">
        <f t="shared" si="78"/>
        <v>8246.6666666668607</v>
      </c>
      <c r="T966" s="2">
        <v>45128.625</v>
      </c>
      <c r="U966" t="s">
        <v>55</v>
      </c>
      <c r="V966" t="s">
        <v>29</v>
      </c>
      <c r="W966" t="s">
        <v>43</v>
      </c>
      <c r="X966">
        <v>8</v>
      </c>
      <c r="Y966">
        <v>8</v>
      </c>
      <c r="Z966" t="s">
        <v>48</v>
      </c>
    </row>
    <row r="967" spans="1:26">
      <c r="A967" t="s">
        <v>1024</v>
      </c>
      <c r="B967">
        <v>50</v>
      </c>
      <c r="C967" t="str">
        <f t="shared" si="75"/>
        <v>36-50</v>
      </c>
      <c r="D967" t="s">
        <v>33</v>
      </c>
      <c r="E967" s="2">
        <v>45062</v>
      </c>
      <c r="F967" s="2" t="str">
        <f t="shared" ca="1" si="76"/>
        <v>No</v>
      </c>
      <c r="G967" s="2" t="str">
        <f t="shared" si="77"/>
        <v>May-2023</v>
      </c>
      <c r="H967" s="2">
        <v>45074</v>
      </c>
      <c r="I967">
        <v>12</v>
      </c>
      <c r="J967" t="s">
        <v>50</v>
      </c>
      <c r="K967">
        <v>3</v>
      </c>
      <c r="L967" t="s">
        <v>24</v>
      </c>
      <c r="M967" s="9">
        <v>44802</v>
      </c>
      <c r="N967" t="s">
        <v>60</v>
      </c>
      <c r="O967" t="s">
        <v>26</v>
      </c>
      <c r="P967" t="s">
        <v>27</v>
      </c>
      <c r="Q967" s="2">
        <v>45062</v>
      </c>
      <c r="R967" s="13">
        <f>(T967-Q967)*1440</f>
        <v>180</v>
      </c>
      <c r="S967" s="13">
        <f t="shared" si="78"/>
        <v>8415.4285714287707</v>
      </c>
      <c r="T967" s="2">
        <v>45062.125</v>
      </c>
      <c r="U967" t="s">
        <v>64</v>
      </c>
      <c r="V967" t="s">
        <v>29</v>
      </c>
      <c r="W967" t="s">
        <v>30</v>
      </c>
      <c r="X967">
        <v>5</v>
      </c>
      <c r="Y967">
        <v>10</v>
      </c>
      <c r="Z967" t="s">
        <v>68</v>
      </c>
    </row>
    <row r="968" spans="1:26">
      <c r="A968" t="s">
        <v>1025</v>
      </c>
      <c r="B968">
        <v>78</v>
      </c>
      <c r="C968" t="str">
        <f t="shared" si="75"/>
        <v>66+</v>
      </c>
      <c r="D968" t="s">
        <v>62</v>
      </c>
      <c r="E968" s="2">
        <v>45566</v>
      </c>
      <c r="F968" s="2" t="str">
        <f t="shared" ca="1" si="76"/>
        <v>No</v>
      </c>
      <c r="G968" s="2" t="str">
        <f t="shared" si="77"/>
        <v>Oct-2024</v>
      </c>
      <c r="H968" s="2">
        <v>45315</v>
      </c>
      <c r="I968">
        <v>14</v>
      </c>
      <c r="J968" t="s">
        <v>34</v>
      </c>
      <c r="K968">
        <v>3</v>
      </c>
      <c r="L968" t="s">
        <v>71</v>
      </c>
      <c r="M968" s="9">
        <v>45077</v>
      </c>
      <c r="N968" t="s">
        <v>60</v>
      </c>
      <c r="O968" t="s">
        <v>26</v>
      </c>
      <c r="P968" t="s">
        <v>41</v>
      </c>
      <c r="Q968" s="2">
        <v>45566</v>
      </c>
      <c r="R968" s="13">
        <f>(T968-Q968)*1440</f>
        <v>840.00000000349246</v>
      </c>
      <c r="S968" s="13">
        <f t="shared" si="78"/>
        <v>8657.6470588237353</v>
      </c>
      <c r="T968" s="2">
        <v>45566.583333333336</v>
      </c>
      <c r="U968" t="s">
        <v>64</v>
      </c>
      <c r="V968" t="s">
        <v>29</v>
      </c>
      <c r="W968" t="s">
        <v>47</v>
      </c>
      <c r="X968">
        <v>8</v>
      </c>
      <c r="Y968">
        <v>12</v>
      </c>
      <c r="Z968" t="s">
        <v>31</v>
      </c>
    </row>
    <row r="969" spans="1:26">
      <c r="A969" t="s">
        <v>1026</v>
      </c>
      <c r="B969">
        <v>75</v>
      </c>
      <c r="C969" t="str">
        <f t="shared" si="75"/>
        <v>66+</v>
      </c>
      <c r="D969" t="s">
        <v>22</v>
      </c>
      <c r="E969" s="2">
        <v>45440</v>
      </c>
      <c r="F969" s="2" t="str">
        <f t="shared" ca="1" si="76"/>
        <v>No</v>
      </c>
      <c r="G969" s="2" t="str">
        <f t="shared" si="77"/>
        <v>May-2024</v>
      </c>
      <c r="H969" s="2">
        <v>45632</v>
      </c>
      <c r="I969">
        <v>15</v>
      </c>
      <c r="J969" t="s">
        <v>34</v>
      </c>
      <c r="K969">
        <v>2</v>
      </c>
      <c r="L969" t="s">
        <v>35</v>
      </c>
      <c r="M969" s="9">
        <v>19379</v>
      </c>
      <c r="N969" t="s">
        <v>36</v>
      </c>
      <c r="O969" t="s">
        <v>26</v>
      </c>
      <c r="P969" t="s">
        <v>41</v>
      </c>
      <c r="Q969" s="2">
        <v>45437</v>
      </c>
      <c r="R969" s="13">
        <f>(T969-Q969)*1440</f>
        <v>1260</v>
      </c>
      <c r="S969" s="13">
        <f t="shared" si="78"/>
        <v>8894.5454545455596</v>
      </c>
      <c r="T969" s="2">
        <v>45437.875</v>
      </c>
      <c r="U969" t="s">
        <v>37</v>
      </c>
      <c r="V969" t="s">
        <v>29</v>
      </c>
      <c r="W969" t="s">
        <v>47</v>
      </c>
      <c r="X969">
        <v>5</v>
      </c>
      <c r="Y969">
        <v>12</v>
      </c>
      <c r="Z969" t="s">
        <v>68</v>
      </c>
    </row>
    <row r="970" spans="1:26">
      <c r="A970" t="s">
        <v>1027</v>
      </c>
      <c r="B970">
        <v>9</v>
      </c>
      <c r="C970" t="str">
        <f t="shared" si="75"/>
        <v>0-17</v>
      </c>
      <c r="D970" t="s">
        <v>33</v>
      </c>
      <c r="E970" s="2">
        <v>45117</v>
      </c>
      <c r="F970" s="2" t="str">
        <f t="shared" ca="1" si="76"/>
        <v>No</v>
      </c>
      <c r="G970" s="2" t="str">
        <f t="shared" si="77"/>
        <v>Jul-2023</v>
      </c>
      <c r="H970" s="2">
        <v>45212</v>
      </c>
      <c r="I970">
        <v>6</v>
      </c>
      <c r="J970" t="s">
        <v>63</v>
      </c>
      <c r="K970">
        <v>5</v>
      </c>
      <c r="L970" t="s">
        <v>66</v>
      </c>
      <c r="M970" s="9">
        <v>9239</v>
      </c>
      <c r="N970" t="s">
        <v>25</v>
      </c>
      <c r="O970" t="s">
        <v>26</v>
      </c>
      <c r="P970" t="s">
        <v>41</v>
      </c>
      <c r="Q970" s="2">
        <v>45026</v>
      </c>
      <c r="R970" s="13">
        <f>(T970-Q970)*1440</f>
        <v>599.99999999650754</v>
      </c>
      <c r="S970" s="13">
        <f t="shared" si="78"/>
        <v>9133.1250000001091</v>
      </c>
      <c r="T970" s="2">
        <v>45026.416666666664</v>
      </c>
      <c r="U970" t="s">
        <v>28</v>
      </c>
      <c r="V970" t="s">
        <v>29</v>
      </c>
      <c r="W970" t="s">
        <v>30</v>
      </c>
      <c r="X970">
        <v>11</v>
      </c>
      <c r="Y970">
        <v>10</v>
      </c>
      <c r="Z970" t="s">
        <v>31</v>
      </c>
    </row>
    <row r="971" spans="1:26">
      <c r="A971" t="s">
        <v>1028</v>
      </c>
      <c r="B971">
        <v>34</v>
      </c>
      <c r="C971" t="str">
        <f t="shared" si="75"/>
        <v>18-35</v>
      </c>
      <c r="D971" t="s">
        <v>52</v>
      </c>
      <c r="E971" s="2">
        <v>45095</v>
      </c>
      <c r="F971" s="2" t="str">
        <f t="shared" ca="1" si="76"/>
        <v>No</v>
      </c>
      <c r="G971" s="2" t="str">
        <f t="shared" si="77"/>
        <v>Jun-2023</v>
      </c>
      <c r="H971" s="2">
        <v>45105</v>
      </c>
      <c r="I971">
        <v>10</v>
      </c>
      <c r="J971" t="s">
        <v>23</v>
      </c>
      <c r="K971">
        <v>5</v>
      </c>
      <c r="L971" t="s">
        <v>35</v>
      </c>
      <c r="M971" s="9">
        <v>49896</v>
      </c>
      <c r="N971" t="s">
        <v>25</v>
      </c>
      <c r="O971" t="s">
        <v>54</v>
      </c>
      <c r="P971" t="s">
        <v>41</v>
      </c>
      <c r="Q971" s="2">
        <v>45092</v>
      </c>
      <c r="R971" s="13">
        <f>(T971-Q971)*1440</f>
        <v>360</v>
      </c>
      <c r="S971" s="13">
        <f t="shared" si="78"/>
        <v>9408.3870967744188</v>
      </c>
      <c r="T971" s="2">
        <v>45092.25</v>
      </c>
      <c r="U971" t="s">
        <v>64</v>
      </c>
      <c r="V971" t="s">
        <v>29</v>
      </c>
      <c r="W971" t="s">
        <v>47</v>
      </c>
      <c r="X971">
        <v>10</v>
      </c>
      <c r="Y971">
        <v>12</v>
      </c>
      <c r="Z971" t="s">
        <v>68</v>
      </c>
    </row>
    <row r="972" spans="1:26">
      <c r="A972" t="s">
        <v>1029</v>
      </c>
      <c r="B972">
        <v>76</v>
      </c>
      <c r="C972" t="str">
        <f t="shared" si="75"/>
        <v>66+</v>
      </c>
      <c r="D972" t="s">
        <v>62</v>
      </c>
      <c r="E972" s="2">
        <v>45190</v>
      </c>
      <c r="F972" s="2" t="str">
        <f t="shared" ca="1" si="76"/>
        <v>No</v>
      </c>
      <c r="G972" s="2" t="str">
        <f t="shared" si="77"/>
        <v>Sep-2023</v>
      </c>
      <c r="H972" s="2">
        <v>45197</v>
      </c>
      <c r="I972">
        <v>7</v>
      </c>
      <c r="J972" t="s">
        <v>63</v>
      </c>
      <c r="K972">
        <v>1</v>
      </c>
      <c r="L972" t="s">
        <v>66</v>
      </c>
      <c r="M972" s="9">
        <v>25812</v>
      </c>
      <c r="N972" t="s">
        <v>25</v>
      </c>
      <c r="O972" t="s">
        <v>26</v>
      </c>
      <c r="P972" t="s">
        <v>27</v>
      </c>
      <c r="Q972" s="2">
        <v>45186</v>
      </c>
      <c r="R972" s="13">
        <f>(T972-Q972)*1440</f>
        <v>2759.9999999965075</v>
      </c>
      <c r="S972" s="13">
        <f t="shared" si="78"/>
        <v>9710.0000000002328</v>
      </c>
      <c r="T972" s="2">
        <v>45187.916666666664</v>
      </c>
      <c r="U972" t="s">
        <v>64</v>
      </c>
      <c r="V972" t="s">
        <v>38</v>
      </c>
      <c r="W972" t="s">
        <v>47</v>
      </c>
      <c r="X972">
        <v>10</v>
      </c>
      <c r="Y972">
        <v>10</v>
      </c>
      <c r="Z972" t="s">
        <v>68</v>
      </c>
    </row>
    <row r="973" spans="1:26">
      <c r="A973" t="s">
        <v>1030</v>
      </c>
      <c r="B973">
        <v>35</v>
      </c>
      <c r="C973" t="str">
        <f t="shared" si="75"/>
        <v>18-35</v>
      </c>
      <c r="D973" t="s">
        <v>62</v>
      </c>
      <c r="E973" s="2">
        <v>45509</v>
      </c>
      <c r="F973" s="2" t="str">
        <f t="shared" ca="1" si="76"/>
        <v>No</v>
      </c>
      <c r="G973" s="2" t="str">
        <f t="shared" si="77"/>
        <v>Aug-2024</v>
      </c>
      <c r="H973" s="2">
        <v>45425</v>
      </c>
      <c r="I973">
        <v>5</v>
      </c>
      <c r="J973" t="s">
        <v>23</v>
      </c>
      <c r="K973">
        <v>3</v>
      </c>
      <c r="L973" t="s">
        <v>71</v>
      </c>
      <c r="M973" s="9">
        <v>34669</v>
      </c>
      <c r="N973" t="s">
        <v>60</v>
      </c>
      <c r="O973" t="s">
        <v>54</v>
      </c>
      <c r="P973" t="s">
        <v>41</v>
      </c>
      <c r="Q973" s="2">
        <v>45417</v>
      </c>
      <c r="R973" s="13">
        <f>(T973-Q973)*1440</f>
        <v>959.99999999650754</v>
      </c>
      <c r="S973" s="13">
        <f t="shared" si="78"/>
        <v>9949.6551724141536</v>
      </c>
      <c r="T973" s="2">
        <v>45417.666666666664</v>
      </c>
      <c r="U973" t="s">
        <v>55</v>
      </c>
      <c r="V973" t="s">
        <v>29</v>
      </c>
      <c r="W973" t="s">
        <v>30</v>
      </c>
      <c r="X973">
        <v>4</v>
      </c>
      <c r="Y973">
        <v>8</v>
      </c>
      <c r="Z973" t="s">
        <v>48</v>
      </c>
    </row>
    <row r="974" spans="1:26">
      <c r="A974" t="s">
        <v>1031</v>
      </c>
      <c r="B974">
        <v>1</v>
      </c>
      <c r="C974" t="str">
        <f t="shared" si="75"/>
        <v>0-17</v>
      </c>
      <c r="D974" t="s">
        <v>52</v>
      </c>
      <c r="E974" s="2">
        <v>45229</v>
      </c>
      <c r="F974" s="2" t="str">
        <f t="shared" ca="1" si="76"/>
        <v>No</v>
      </c>
      <c r="G974" s="2" t="str">
        <f t="shared" si="77"/>
        <v>Oct-2023</v>
      </c>
      <c r="H974" s="2">
        <v>45210</v>
      </c>
      <c r="I974">
        <v>11</v>
      </c>
      <c r="J974" t="s">
        <v>23</v>
      </c>
      <c r="K974">
        <v>2</v>
      </c>
      <c r="L974" t="s">
        <v>24</v>
      </c>
      <c r="M974" s="9">
        <v>14611</v>
      </c>
      <c r="N974" t="s">
        <v>36</v>
      </c>
      <c r="O974" t="s">
        <v>26</v>
      </c>
      <c r="P974" t="s">
        <v>27</v>
      </c>
      <c r="Q974" s="2">
        <v>45229</v>
      </c>
      <c r="R974" s="13">
        <f>(T974-Q974)*1440</f>
        <v>1380.0000000034925</v>
      </c>
      <c r="S974" s="13">
        <f t="shared" si="78"/>
        <v>10270.714285714785</v>
      </c>
      <c r="T974" s="2">
        <v>45229.958333333336</v>
      </c>
      <c r="U974" t="s">
        <v>55</v>
      </c>
      <c r="V974" t="s">
        <v>29</v>
      </c>
      <c r="W974" t="s">
        <v>47</v>
      </c>
      <c r="X974">
        <v>8</v>
      </c>
      <c r="Y974">
        <v>10</v>
      </c>
      <c r="Z974" t="s">
        <v>48</v>
      </c>
    </row>
    <row r="975" spans="1:26">
      <c r="A975" t="s">
        <v>1032</v>
      </c>
      <c r="B975">
        <v>40</v>
      </c>
      <c r="C975" t="str">
        <f t="shared" si="75"/>
        <v>36-50</v>
      </c>
      <c r="D975" t="s">
        <v>33</v>
      </c>
      <c r="E975" s="2">
        <v>45273</v>
      </c>
      <c r="F975" s="2" t="str">
        <f t="shared" ca="1" si="76"/>
        <v>No</v>
      </c>
      <c r="G975" s="2" t="str">
        <f t="shared" si="77"/>
        <v>Dec-2023</v>
      </c>
      <c r="H975" s="2">
        <v>45286</v>
      </c>
      <c r="I975">
        <v>13</v>
      </c>
      <c r="J975" t="s">
        <v>34</v>
      </c>
      <c r="K975">
        <v>4</v>
      </c>
      <c r="L975" t="s">
        <v>46</v>
      </c>
      <c r="M975" s="9">
        <v>9150</v>
      </c>
      <c r="N975" t="s">
        <v>53</v>
      </c>
      <c r="O975" t="s">
        <v>26</v>
      </c>
      <c r="P975" t="s">
        <v>27</v>
      </c>
      <c r="Q975" s="2">
        <v>45150</v>
      </c>
      <c r="R975" s="13">
        <f>(T975-Q975)*1440</f>
        <v>44760.000000003492</v>
      </c>
      <c r="S975" s="13">
        <f t="shared" si="78"/>
        <v>10600.000000000387</v>
      </c>
      <c r="T975" s="2">
        <v>45181.083333333336</v>
      </c>
      <c r="U975" t="s">
        <v>37</v>
      </c>
      <c r="V975" t="s">
        <v>29</v>
      </c>
      <c r="W975" t="s">
        <v>47</v>
      </c>
      <c r="X975">
        <v>7</v>
      </c>
      <c r="Y975">
        <v>8</v>
      </c>
      <c r="Z975" t="s">
        <v>48</v>
      </c>
    </row>
    <row r="976" spans="1:26">
      <c r="A976" t="s">
        <v>1033</v>
      </c>
      <c r="B976">
        <v>64</v>
      </c>
      <c r="C976" t="str">
        <f t="shared" si="75"/>
        <v>51-65</v>
      </c>
      <c r="D976" t="s">
        <v>45</v>
      </c>
      <c r="E976" s="2">
        <v>45044</v>
      </c>
      <c r="F976" s="2" t="str">
        <f t="shared" ca="1" si="76"/>
        <v>No</v>
      </c>
      <c r="G976" s="2" t="str">
        <f t="shared" si="77"/>
        <v>Apr-2023</v>
      </c>
      <c r="H976" s="2">
        <v>45045</v>
      </c>
      <c r="I976">
        <v>1</v>
      </c>
      <c r="J976" t="s">
        <v>63</v>
      </c>
      <c r="K976">
        <v>3</v>
      </c>
      <c r="L976" t="s">
        <v>71</v>
      </c>
      <c r="M976" s="9">
        <v>16109</v>
      </c>
      <c r="N976" t="s">
        <v>67</v>
      </c>
      <c r="O976" t="s">
        <v>26</v>
      </c>
      <c r="P976" t="s">
        <v>27</v>
      </c>
      <c r="Q976" s="2">
        <v>45044</v>
      </c>
      <c r="R976" s="13">
        <f>(T976-Q976)*1440</f>
        <v>1980</v>
      </c>
      <c r="S976" s="13">
        <f t="shared" si="78"/>
        <v>9286.1538461541149</v>
      </c>
      <c r="T976" s="2">
        <v>45045.375</v>
      </c>
      <c r="U976" t="s">
        <v>37</v>
      </c>
      <c r="V976" t="s">
        <v>29</v>
      </c>
      <c r="W976" t="s">
        <v>47</v>
      </c>
      <c r="X976">
        <v>11</v>
      </c>
      <c r="Y976">
        <v>10</v>
      </c>
      <c r="Z976" t="s">
        <v>68</v>
      </c>
    </row>
    <row r="977" spans="1:26">
      <c r="A977" t="s">
        <v>1034</v>
      </c>
      <c r="B977">
        <v>22</v>
      </c>
      <c r="C977" t="str">
        <f t="shared" si="75"/>
        <v>18-35</v>
      </c>
      <c r="D977" t="s">
        <v>52</v>
      </c>
      <c r="E977" s="2">
        <v>45406</v>
      </c>
      <c r="F977" s="2" t="str">
        <f t="shared" ca="1" si="76"/>
        <v>No</v>
      </c>
      <c r="G977" s="2" t="str">
        <f t="shared" si="77"/>
        <v>Apr-2024</v>
      </c>
      <c r="H977" s="2">
        <v>45408</v>
      </c>
      <c r="I977">
        <v>2</v>
      </c>
      <c r="J977" t="s">
        <v>40</v>
      </c>
      <c r="K977">
        <v>1</v>
      </c>
      <c r="L977" t="s">
        <v>35</v>
      </c>
      <c r="M977" s="9">
        <v>39214</v>
      </c>
      <c r="N977" t="s">
        <v>53</v>
      </c>
      <c r="O977" t="s">
        <v>54</v>
      </c>
      <c r="P977" t="s">
        <v>41</v>
      </c>
      <c r="Q977" s="2">
        <v>45401</v>
      </c>
      <c r="R977" s="13">
        <f>(T977-Q977)*1440</f>
        <v>239.99999999650754</v>
      </c>
      <c r="S977" s="13">
        <f t="shared" si="78"/>
        <v>9578.4000000002798</v>
      </c>
      <c r="T977" s="2">
        <v>45401.166666666664</v>
      </c>
      <c r="U977" t="s">
        <v>37</v>
      </c>
      <c r="V977" t="s">
        <v>29</v>
      </c>
      <c r="W977" t="s">
        <v>47</v>
      </c>
      <c r="X977">
        <v>9</v>
      </c>
      <c r="Y977">
        <v>12</v>
      </c>
      <c r="Z977" t="s">
        <v>68</v>
      </c>
    </row>
    <row r="978" spans="1:26">
      <c r="A978" t="s">
        <v>1035</v>
      </c>
      <c r="B978">
        <v>60</v>
      </c>
      <c r="C978" t="str">
        <f t="shared" si="75"/>
        <v>51-65</v>
      </c>
      <c r="D978" t="s">
        <v>33</v>
      </c>
      <c r="E978" s="2">
        <v>45004</v>
      </c>
      <c r="F978" s="2" t="str">
        <f t="shared" ca="1" si="76"/>
        <v>No</v>
      </c>
      <c r="G978" s="2" t="str">
        <f t="shared" si="77"/>
        <v>Mar-2023</v>
      </c>
      <c r="H978" s="2">
        <v>45015</v>
      </c>
      <c r="I978">
        <v>11</v>
      </c>
      <c r="J978" t="s">
        <v>23</v>
      </c>
      <c r="K978">
        <v>5</v>
      </c>
      <c r="L978" t="s">
        <v>46</v>
      </c>
      <c r="M978" s="9">
        <v>31016</v>
      </c>
      <c r="N978" t="s">
        <v>60</v>
      </c>
      <c r="O978" t="s">
        <v>54</v>
      </c>
      <c r="P978" t="s">
        <v>27</v>
      </c>
      <c r="Q978" s="2">
        <v>45003</v>
      </c>
      <c r="R978" s="13">
        <f>(T978-Q978)*1440</f>
        <v>2640.0000000034925</v>
      </c>
      <c r="S978" s="13">
        <f t="shared" si="78"/>
        <v>9967.5000000004366</v>
      </c>
      <c r="T978" s="2">
        <v>45004.833333333336</v>
      </c>
      <c r="U978" t="s">
        <v>55</v>
      </c>
      <c r="V978" t="s">
        <v>29</v>
      </c>
      <c r="W978" t="s">
        <v>30</v>
      </c>
      <c r="X978">
        <v>7</v>
      </c>
      <c r="Y978">
        <v>10</v>
      </c>
      <c r="Z978" t="s">
        <v>68</v>
      </c>
    </row>
    <row r="979" spans="1:26">
      <c r="A979" t="s">
        <v>1036</v>
      </c>
      <c r="B979">
        <v>64</v>
      </c>
      <c r="C979" t="str">
        <f t="shared" si="75"/>
        <v>51-65</v>
      </c>
      <c r="D979" t="s">
        <v>52</v>
      </c>
      <c r="E979" s="2">
        <v>45071</v>
      </c>
      <c r="F979" s="2" t="str">
        <f t="shared" ca="1" si="76"/>
        <v>No</v>
      </c>
      <c r="G979" s="2" t="str">
        <f t="shared" si="77"/>
        <v>May-2023</v>
      </c>
      <c r="H979" s="2">
        <v>45052</v>
      </c>
      <c r="I979">
        <v>11</v>
      </c>
      <c r="J979" t="s">
        <v>57</v>
      </c>
      <c r="K979">
        <v>2</v>
      </c>
      <c r="L979" t="s">
        <v>24</v>
      </c>
      <c r="M979" s="9">
        <v>16936</v>
      </c>
      <c r="N979" t="s">
        <v>25</v>
      </c>
      <c r="O979" t="s">
        <v>26</v>
      </c>
      <c r="P979" t="s">
        <v>41</v>
      </c>
      <c r="Q979" s="2">
        <v>45071</v>
      </c>
      <c r="R979" s="13">
        <f>(T979-Q979)*1440</f>
        <v>1200.0000000034925</v>
      </c>
      <c r="S979" s="13">
        <f t="shared" si="78"/>
        <v>10286.086956522044</v>
      </c>
      <c r="T979" s="2">
        <v>45071.833333333336</v>
      </c>
      <c r="U979" t="s">
        <v>55</v>
      </c>
      <c r="V979" t="s">
        <v>29</v>
      </c>
      <c r="W979" t="s">
        <v>43</v>
      </c>
      <c r="X979">
        <v>11</v>
      </c>
      <c r="Y979">
        <v>10</v>
      </c>
      <c r="Z979" t="s">
        <v>31</v>
      </c>
    </row>
    <row r="980" spans="1:26">
      <c r="A980" t="s">
        <v>1037</v>
      </c>
      <c r="B980">
        <v>72</v>
      </c>
      <c r="C980" t="str">
        <f t="shared" si="75"/>
        <v>66+</v>
      </c>
      <c r="D980" t="s">
        <v>52</v>
      </c>
      <c r="E980" s="2">
        <v>45158</v>
      </c>
      <c r="F980" s="2" t="str">
        <f t="shared" ca="1" si="76"/>
        <v>No</v>
      </c>
      <c r="G980" s="2" t="str">
        <f t="shared" si="77"/>
        <v>Aug-2023</v>
      </c>
      <c r="H980" s="2">
        <v>45165</v>
      </c>
      <c r="I980">
        <v>7</v>
      </c>
      <c r="J980" t="s">
        <v>57</v>
      </c>
      <c r="K980">
        <v>3</v>
      </c>
      <c r="L980" t="s">
        <v>71</v>
      </c>
      <c r="M980" s="9">
        <v>16036</v>
      </c>
      <c r="N980" t="s">
        <v>67</v>
      </c>
      <c r="O980" t="s">
        <v>54</v>
      </c>
      <c r="P980" t="s">
        <v>27</v>
      </c>
      <c r="Q980" s="2">
        <v>45155</v>
      </c>
      <c r="R980" s="13">
        <f>(T980-Q980)*1440</f>
        <v>1020.0000000034925</v>
      </c>
      <c r="S980" s="13">
        <f t="shared" si="78"/>
        <v>10699.090909091068</v>
      </c>
      <c r="T980" s="2">
        <v>45155.708333333336</v>
      </c>
      <c r="U980" t="s">
        <v>28</v>
      </c>
      <c r="V980" t="s">
        <v>29</v>
      </c>
      <c r="W980" t="s">
        <v>43</v>
      </c>
      <c r="X980">
        <v>7</v>
      </c>
      <c r="Y980">
        <v>10</v>
      </c>
      <c r="Z980" t="s">
        <v>31</v>
      </c>
    </row>
    <row r="981" spans="1:26">
      <c r="A981" t="s">
        <v>1038</v>
      </c>
      <c r="B981">
        <v>11</v>
      </c>
      <c r="C981" t="str">
        <f t="shared" si="75"/>
        <v>0-17</v>
      </c>
      <c r="D981" t="s">
        <v>22</v>
      </c>
      <c r="E981" s="2">
        <v>45598</v>
      </c>
      <c r="F981" s="2" t="str">
        <f t="shared" ca="1" si="76"/>
        <v>No</v>
      </c>
      <c r="G981" s="2" t="str">
        <f t="shared" si="77"/>
        <v>Nov-2024</v>
      </c>
      <c r="H981" s="2">
        <v>45339</v>
      </c>
      <c r="I981">
        <v>6</v>
      </c>
      <c r="J981" t="s">
        <v>40</v>
      </c>
      <c r="K981">
        <v>4</v>
      </c>
      <c r="L981" t="s">
        <v>46</v>
      </c>
      <c r="M981" s="9">
        <v>44236</v>
      </c>
      <c r="N981" t="s">
        <v>60</v>
      </c>
      <c r="O981" t="s">
        <v>54</v>
      </c>
      <c r="P981" t="s">
        <v>27</v>
      </c>
      <c r="Q981" s="2">
        <v>45506</v>
      </c>
      <c r="R981" s="13">
        <f>(T981-Q981)*1440</f>
        <v>720</v>
      </c>
      <c r="S981" s="13">
        <f t="shared" si="78"/>
        <v>11160</v>
      </c>
      <c r="T981" s="2">
        <v>45506.5</v>
      </c>
      <c r="U981" t="s">
        <v>42</v>
      </c>
      <c r="V981" t="s">
        <v>38</v>
      </c>
      <c r="W981" t="s">
        <v>47</v>
      </c>
      <c r="X981">
        <v>7</v>
      </c>
      <c r="Y981">
        <v>12</v>
      </c>
      <c r="Z981" t="s">
        <v>68</v>
      </c>
    </row>
    <row r="982" spans="1:26">
      <c r="A982" t="s">
        <v>1039</v>
      </c>
      <c r="B982">
        <v>14</v>
      </c>
      <c r="C982" t="str">
        <f t="shared" si="75"/>
        <v>0-17</v>
      </c>
      <c r="D982" t="s">
        <v>33</v>
      </c>
      <c r="E982" s="2">
        <v>45566</v>
      </c>
      <c r="F982" s="2" t="str">
        <f t="shared" ca="1" si="76"/>
        <v>No</v>
      </c>
      <c r="G982" s="2" t="str">
        <f t="shared" si="77"/>
        <v>Oct-2024</v>
      </c>
      <c r="H982" s="2">
        <v>45310</v>
      </c>
      <c r="I982">
        <v>9</v>
      </c>
      <c r="J982" t="s">
        <v>57</v>
      </c>
      <c r="K982">
        <v>1</v>
      </c>
      <c r="L982" t="s">
        <v>71</v>
      </c>
      <c r="M982" s="9">
        <v>19021</v>
      </c>
      <c r="N982" t="s">
        <v>60</v>
      </c>
      <c r="O982" t="s">
        <v>54</v>
      </c>
      <c r="P982" t="s">
        <v>27</v>
      </c>
      <c r="Q982" s="2">
        <v>45413</v>
      </c>
      <c r="R982" s="13">
        <f>(T982-Q982)*1440</f>
        <v>120.00000000349246</v>
      </c>
      <c r="S982" s="13">
        <f t="shared" si="78"/>
        <v>11682</v>
      </c>
      <c r="T982" s="2">
        <v>45413.083333333336</v>
      </c>
      <c r="U982" t="s">
        <v>42</v>
      </c>
      <c r="V982" t="s">
        <v>29</v>
      </c>
      <c r="W982" t="s">
        <v>47</v>
      </c>
      <c r="X982">
        <v>9</v>
      </c>
      <c r="Y982">
        <v>10</v>
      </c>
      <c r="Z982" t="s">
        <v>48</v>
      </c>
    </row>
    <row r="983" spans="1:26">
      <c r="A983" t="s">
        <v>1040</v>
      </c>
      <c r="B983">
        <v>60</v>
      </c>
      <c r="C983" t="str">
        <f t="shared" si="75"/>
        <v>51-65</v>
      </c>
      <c r="D983" t="s">
        <v>45</v>
      </c>
      <c r="E983" s="2">
        <v>44989</v>
      </c>
      <c r="F983" s="2" t="str">
        <f t="shared" ca="1" si="76"/>
        <v>No</v>
      </c>
      <c r="G983" s="2" t="str">
        <f t="shared" si="77"/>
        <v>Mar-2023</v>
      </c>
      <c r="H983" s="2">
        <v>45032</v>
      </c>
      <c r="I983">
        <v>13</v>
      </c>
      <c r="J983" t="s">
        <v>50</v>
      </c>
      <c r="K983">
        <v>1</v>
      </c>
      <c r="L983" t="s">
        <v>71</v>
      </c>
      <c r="M983" s="9">
        <v>41943</v>
      </c>
      <c r="N983" t="s">
        <v>60</v>
      </c>
      <c r="O983" t="s">
        <v>26</v>
      </c>
      <c r="P983" t="s">
        <v>27</v>
      </c>
      <c r="Q983" s="2">
        <v>44930</v>
      </c>
      <c r="R983" s="13">
        <f>(T983-Q983)*1440</f>
        <v>44760.000000003492</v>
      </c>
      <c r="S983" s="13">
        <f t="shared" si="78"/>
        <v>12290.52631578929</v>
      </c>
      <c r="T983" s="2">
        <v>44961.083333333336</v>
      </c>
      <c r="U983" t="s">
        <v>28</v>
      </c>
      <c r="V983" t="s">
        <v>38</v>
      </c>
      <c r="W983" t="s">
        <v>43</v>
      </c>
      <c r="X983">
        <v>7</v>
      </c>
      <c r="Y983">
        <v>12</v>
      </c>
      <c r="Z983" t="s">
        <v>48</v>
      </c>
    </row>
    <row r="984" spans="1:26">
      <c r="A984" t="s">
        <v>1041</v>
      </c>
      <c r="B984">
        <v>30</v>
      </c>
      <c r="C984" t="str">
        <f t="shared" si="75"/>
        <v>18-35</v>
      </c>
      <c r="D984" t="s">
        <v>22</v>
      </c>
      <c r="E984" s="2">
        <v>45537</v>
      </c>
      <c r="F984" s="2" t="str">
        <f t="shared" ca="1" si="76"/>
        <v>No</v>
      </c>
      <c r="G984" s="2" t="str">
        <f t="shared" si="77"/>
        <v>Sep-2024</v>
      </c>
      <c r="H984" s="2">
        <v>45343</v>
      </c>
      <c r="I984">
        <v>12</v>
      </c>
      <c r="J984" t="s">
        <v>23</v>
      </c>
      <c r="K984">
        <v>3</v>
      </c>
      <c r="L984" t="s">
        <v>24</v>
      </c>
      <c r="M984" s="9">
        <v>42848</v>
      </c>
      <c r="N984" t="s">
        <v>67</v>
      </c>
      <c r="O984" t="s">
        <v>54</v>
      </c>
      <c r="P984" t="s">
        <v>27</v>
      </c>
      <c r="Q984" s="2">
        <v>45414</v>
      </c>
      <c r="R984" s="13">
        <f>(T984-Q984)*1440</f>
        <v>44940.000000003492</v>
      </c>
      <c r="S984" s="13">
        <f t="shared" si="78"/>
        <v>10486.666666666279</v>
      </c>
      <c r="T984" s="2">
        <v>45445.208333333336</v>
      </c>
      <c r="U984" t="s">
        <v>42</v>
      </c>
      <c r="V984" t="s">
        <v>29</v>
      </c>
      <c r="W984" t="s">
        <v>47</v>
      </c>
      <c r="X984">
        <v>5</v>
      </c>
      <c r="Y984">
        <v>10</v>
      </c>
      <c r="Z984" t="s">
        <v>48</v>
      </c>
    </row>
    <row r="985" spans="1:26">
      <c r="A985" t="s">
        <v>1042</v>
      </c>
      <c r="B985">
        <v>35</v>
      </c>
      <c r="C985" t="str">
        <f t="shared" si="75"/>
        <v>18-35</v>
      </c>
      <c r="D985" t="s">
        <v>52</v>
      </c>
      <c r="E985" s="2">
        <v>44941</v>
      </c>
      <c r="F985" s="2" t="str">
        <f t="shared" ca="1" si="76"/>
        <v>No</v>
      </c>
      <c r="G985" s="2" t="str">
        <f t="shared" si="77"/>
        <v>Jan-2023</v>
      </c>
      <c r="H985" s="2">
        <v>44952</v>
      </c>
      <c r="I985">
        <v>11</v>
      </c>
      <c r="J985" t="s">
        <v>40</v>
      </c>
      <c r="K985">
        <v>4</v>
      </c>
      <c r="L985" t="s">
        <v>66</v>
      </c>
      <c r="M985" s="9">
        <v>20471</v>
      </c>
      <c r="N985" t="s">
        <v>67</v>
      </c>
      <c r="O985" t="s">
        <v>54</v>
      </c>
      <c r="P985" t="s">
        <v>27</v>
      </c>
      <c r="Q985" s="2">
        <v>44941</v>
      </c>
      <c r="R985" s="13">
        <f>(T985-Q985)*1440</f>
        <v>2160</v>
      </c>
      <c r="S985" s="13">
        <f t="shared" si="78"/>
        <v>8459.9999999993834</v>
      </c>
      <c r="T985" s="2">
        <v>44942.5</v>
      </c>
      <c r="U985" t="s">
        <v>55</v>
      </c>
      <c r="V985" t="s">
        <v>29</v>
      </c>
      <c r="W985" t="s">
        <v>43</v>
      </c>
      <c r="X985">
        <v>8</v>
      </c>
      <c r="Y985">
        <v>8</v>
      </c>
      <c r="Z985" t="s">
        <v>68</v>
      </c>
    </row>
    <row r="986" spans="1:26">
      <c r="A986" t="s">
        <v>1043</v>
      </c>
      <c r="B986">
        <v>85</v>
      </c>
      <c r="C986" t="str">
        <f t="shared" si="75"/>
        <v>66+</v>
      </c>
      <c r="D986" t="s">
        <v>41</v>
      </c>
      <c r="E986" s="2">
        <v>45197</v>
      </c>
      <c r="F986" s="2" t="str">
        <f t="shared" ca="1" si="76"/>
        <v>No</v>
      </c>
      <c r="G986" s="2" t="str">
        <f t="shared" si="77"/>
        <v>Sep-2023</v>
      </c>
      <c r="H986" s="2">
        <v>44936</v>
      </c>
      <c r="I986">
        <v>3</v>
      </c>
      <c r="J986" t="s">
        <v>63</v>
      </c>
      <c r="K986">
        <v>1</v>
      </c>
      <c r="L986" t="s">
        <v>46</v>
      </c>
      <c r="M986" s="9">
        <v>28244</v>
      </c>
      <c r="N986" t="s">
        <v>36</v>
      </c>
      <c r="O986" t="s">
        <v>54</v>
      </c>
      <c r="P986" t="s">
        <v>27</v>
      </c>
      <c r="Q986" s="2">
        <v>45193</v>
      </c>
      <c r="R986" s="13">
        <f>(T986-Q986)*1440</f>
        <v>2880</v>
      </c>
      <c r="S986" s="13">
        <f t="shared" si="78"/>
        <v>8853.7499999993452</v>
      </c>
      <c r="T986" s="2">
        <v>45195</v>
      </c>
      <c r="U986" t="s">
        <v>42</v>
      </c>
      <c r="V986" t="s">
        <v>29</v>
      </c>
      <c r="W986" t="s">
        <v>30</v>
      </c>
      <c r="X986">
        <v>10</v>
      </c>
      <c r="Y986">
        <v>10</v>
      </c>
      <c r="Z986" t="s">
        <v>48</v>
      </c>
    </row>
    <row r="987" spans="1:26">
      <c r="A987" t="s">
        <v>1044</v>
      </c>
      <c r="B987">
        <v>37</v>
      </c>
      <c r="C987" t="str">
        <f t="shared" si="75"/>
        <v>36-50</v>
      </c>
      <c r="D987" t="s">
        <v>52</v>
      </c>
      <c r="E987" s="2">
        <v>45112</v>
      </c>
      <c r="F987" s="2" t="str">
        <f t="shared" ca="1" si="76"/>
        <v>No</v>
      </c>
      <c r="G987" s="2" t="str">
        <f t="shared" si="77"/>
        <v>Jul-2023</v>
      </c>
      <c r="H987" s="2">
        <v>45143</v>
      </c>
      <c r="I987">
        <v>1</v>
      </c>
      <c r="J987" t="s">
        <v>23</v>
      </c>
      <c r="K987">
        <v>2</v>
      </c>
      <c r="L987" t="s">
        <v>24</v>
      </c>
      <c r="M987" s="9">
        <v>43985</v>
      </c>
      <c r="N987" t="s">
        <v>36</v>
      </c>
      <c r="O987" t="s">
        <v>54</v>
      </c>
      <c r="P987" t="s">
        <v>27</v>
      </c>
      <c r="Q987" s="2">
        <v>45112</v>
      </c>
      <c r="R987" s="13">
        <f>(T987-Q987)*1440</f>
        <v>45360</v>
      </c>
      <c r="S987" s="13">
        <f t="shared" si="78"/>
        <v>9251.9999999993015</v>
      </c>
      <c r="T987" s="2">
        <v>45143.5</v>
      </c>
      <c r="U987" t="s">
        <v>55</v>
      </c>
      <c r="V987" t="s">
        <v>29</v>
      </c>
      <c r="W987" t="s">
        <v>30</v>
      </c>
      <c r="X987">
        <v>4</v>
      </c>
      <c r="Y987">
        <v>8</v>
      </c>
      <c r="Z987" t="s">
        <v>68</v>
      </c>
    </row>
    <row r="988" spans="1:26">
      <c r="A988" t="s">
        <v>1045</v>
      </c>
      <c r="B988">
        <v>5</v>
      </c>
      <c r="C988" t="str">
        <f t="shared" si="75"/>
        <v>0-17</v>
      </c>
      <c r="D988" t="s">
        <v>52</v>
      </c>
      <c r="E988" s="2">
        <v>45569</v>
      </c>
      <c r="F988" s="2" t="str">
        <f t="shared" ca="1" si="76"/>
        <v>No</v>
      </c>
      <c r="G988" s="2" t="str">
        <f t="shared" si="77"/>
        <v>Oct-2024</v>
      </c>
      <c r="H988" s="2">
        <v>45395</v>
      </c>
      <c r="I988">
        <v>3</v>
      </c>
      <c r="J988" t="s">
        <v>40</v>
      </c>
      <c r="K988">
        <v>1</v>
      </c>
      <c r="L988" t="s">
        <v>71</v>
      </c>
      <c r="M988" s="9">
        <v>43440</v>
      </c>
      <c r="N988" t="s">
        <v>53</v>
      </c>
      <c r="O988" t="s">
        <v>26</v>
      </c>
      <c r="P988" t="s">
        <v>27</v>
      </c>
      <c r="Q988" s="2">
        <v>45539</v>
      </c>
      <c r="R988" s="13">
        <f>(T988-Q988)*1440</f>
        <v>959.99999999650754</v>
      </c>
      <c r="S988" s="13">
        <f t="shared" si="78"/>
        <v>6672.8571428563946</v>
      </c>
      <c r="T988" s="2">
        <v>45539.666666666664</v>
      </c>
      <c r="U988" t="s">
        <v>28</v>
      </c>
      <c r="V988" t="s">
        <v>29</v>
      </c>
      <c r="W988" t="s">
        <v>30</v>
      </c>
      <c r="X988">
        <v>7</v>
      </c>
      <c r="Y988">
        <v>12</v>
      </c>
      <c r="Z988" t="s">
        <v>31</v>
      </c>
    </row>
    <row r="989" spans="1:26">
      <c r="A989" t="s">
        <v>1046</v>
      </c>
      <c r="B989">
        <v>83</v>
      </c>
      <c r="C989" t="str">
        <f t="shared" si="75"/>
        <v>66+</v>
      </c>
      <c r="D989" t="s">
        <v>33</v>
      </c>
      <c r="E989" s="2">
        <v>45304</v>
      </c>
      <c r="F989" s="2" t="str">
        <f t="shared" ca="1" si="76"/>
        <v>No</v>
      </c>
      <c r="G989" s="2" t="str">
        <f t="shared" si="77"/>
        <v>Jan-2024</v>
      </c>
      <c r="H989" s="2">
        <v>45318</v>
      </c>
      <c r="I989">
        <v>14</v>
      </c>
      <c r="J989" t="s">
        <v>34</v>
      </c>
      <c r="K989">
        <v>4</v>
      </c>
      <c r="L989" t="s">
        <v>24</v>
      </c>
      <c r="M989" s="9">
        <v>6502</v>
      </c>
      <c r="N989" t="s">
        <v>67</v>
      </c>
      <c r="O989" t="s">
        <v>26</v>
      </c>
      <c r="P989" t="s">
        <v>27</v>
      </c>
      <c r="Q989" s="2">
        <v>45627</v>
      </c>
      <c r="R989" s="13">
        <f>(T989-Q989)*1440</f>
        <v>419.99999999650754</v>
      </c>
      <c r="S989" s="13">
        <f t="shared" si="78"/>
        <v>7112.3076923071549</v>
      </c>
      <c r="T989" s="2">
        <v>45627.291666666664</v>
      </c>
      <c r="U989" t="s">
        <v>37</v>
      </c>
      <c r="V989" t="s">
        <v>29</v>
      </c>
      <c r="W989" t="s">
        <v>30</v>
      </c>
      <c r="X989">
        <v>10</v>
      </c>
      <c r="Y989">
        <v>12</v>
      </c>
      <c r="Z989" t="s">
        <v>48</v>
      </c>
    </row>
    <row r="990" spans="1:26">
      <c r="A990" t="s">
        <v>1047</v>
      </c>
      <c r="B990">
        <v>78</v>
      </c>
      <c r="C990" t="str">
        <f t="shared" si="75"/>
        <v>66+</v>
      </c>
      <c r="D990" t="s">
        <v>33</v>
      </c>
      <c r="E990" s="2">
        <v>45195</v>
      </c>
      <c r="F990" s="2" t="str">
        <f t="shared" ca="1" si="76"/>
        <v>No</v>
      </c>
      <c r="G990" s="2" t="str">
        <f t="shared" si="77"/>
        <v>Sep-2023</v>
      </c>
      <c r="H990" s="2">
        <v>45087</v>
      </c>
      <c r="I990">
        <v>10</v>
      </c>
      <c r="J990" t="s">
        <v>63</v>
      </c>
      <c r="K990">
        <v>5</v>
      </c>
      <c r="L990" t="s">
        <v>66</v>
      </c>
      <c r="M990" s="9">
        <v>39178</v>
      </c>
      <c r="N990" t="s">
        <v>67</v>
      </c>
      <c r="O990" t="s">
        <v>26</v>
      </c>
      <c r="P990" t="s">
        <v>27</v>
      </c>
      <c r="Q990" s="2">
        <v>45190</v>
      </c>
      <c r="R990" s="13">
        <f>(T990-Q990)*1440</f>
        <v>1800</v>
      </c>
      <c r="S990" s="13">
        <f t="shared" si="78"/>
        <v>7669.999999999709</v>
      </c>
      <c r="T990" s="2">
        <v>45191.25</v>
      </c>
      <c r="U990" t="s">
        <v>28</v>
      </c>
      <c r="V990" t="s">
        <v>29</v>
      </c>
      <c r="W990" t="s">
        <v>30</v>
      </c>
      <c r="X990">
        <v>7</v>
      </c>
      <c r="Y990">
        <v>10</v>
      </c>
      <c r="Z990" t="s">
        <v>31</v>
      </c>
    </row>
    <row r="991" spans="1:26">
      <c r="A991" t="s">
        <v>1048</v>
      </c>
      <c r="B991">
        <v>26</v>
      </c>
      <c r="C991" t="str">
        <f t="shared" si="75"/>
        <v>18-35</v>
      </c>
      <c r="D991" t="s">
        <v>22</v>
      </c>
      <c r="E991" s="2">
        <v>45317</v>
      </c>
      <c r="F991" s="2" t="str">
        <f t="shared" ca="1" si="76"/>
        <v>No</v>
      </c>
      <c r="G991" s="2" t="str">
        <f t="shared" si="77"/>
        <v>Jan-2024</v>
      </c>
      <c r="H991" s="2">
        <v>45445</v>
      </c>
      <c r="I991">
        <v>11</v>
      </c>
      <c r="J991" t="s">
        <v>34</v>
      </c>
      <c r="K991">
        <v>5</v>
      </c>
      <c r="L991" t="s">
        <v>46</v>
      </c>
      <c r="M991" s="9">
        <v>8770</v>
      </c>
      <c r="N991" t="s">
        <v>67</v>
      </c>
      <c r="O991" t="s">
        <v>54</v>
      </c>
      <c r="P991" t="s">
        <v>27</v>
      </c>
      <c r="Q991" s="2">
        <v>45313</v>
      </c>
      <c r="R991" s="13">
        <f>(T991-Q991)*1440</f>
        <v>419.99999999650754</v>
      </c>
      <c r="S991" s="13">
        <f t="shared" si="78"/>
        <v>8203.6363636360456</v>
      </c>
      <c r="T991" s="2">
        <v>45313.291666666664</v>
      </c>
      <c r="U991" t="s">
        <v>42</v>
      </c>
      <c r="V991" t="s">
        <v>38</v>
      </c>
      <c r="W991" t="s">
        <v>30</v>
      </c>
      <c r="X991">
        <v>11</v>
      </c>
      <c r="Y991">
        <v>12</v>
      </c>
      <c r="Z991" t="s">
        <v>48</v>
      </c>
    </row>
    <row r="992" spans="1:26">
      <c r="A992" t="s">
        <v>1049</v>
      </c>
      <c r="B992">
        <v>62</v>
      </c>
      <c r="C992" t="str">
        <f t="shared" si="75"/>
        <v>51-65</v>
      </c>
      <c r="D992" t="s">
        <v>45</v>
      </c>
      <c r="E992" s="2">
        <v>45307</v>
      </c>
      <c r="F992" s="2" t="str">
        <f t="shared" ca="1" si="76"/>
        <v>No</v>
      </c>
      <c r="G992" s="2" t="str">
        <f t="shared" si="77"/>
        <v>Jan-2024</v>
      </c>
      <c r="H992" s="2">
        <v>45320</v>
      </c>
      <c r="I992">
        <v>13</v>
      </c>
      <c r="J992" t="s">
        <v>23</v>
      </c>
      <c r="K992">
        <v>3</v>
      </c>
      <c r="L992" t="s">
        <v>66</v>
      </c>
      <c r="M992" s="9">
        <v>47865</v>
      </c>
      <c r="N992" t="s">
        <v>36</v>
      </c>
      <c r="O992" t="s">
        <v>26</v>
      </c>
      <c r="P992" t="s">
        <v>27</v>
      </c>
      <c r="Q992" s="2">
        <v>45304</v>
      </c>
      <c r="R992" s="13">
        <f>(T992-Q992)*1440</f>
        <v>540</v>
      </c>
      <c r="S992" s="13">
        <f t="shared" si="78"/>
        <v>8982</v>
      </c>
      <c r="T992" s="2">
        <v>45304.375</v>
      </c>
      <c r="U992" t="s">
        <v>55</v>
      </c>
      <c r="V992" t="s">
        <v>29</v>
      </c>
      <c r="W992" t="s">
        <v>43</v>
      </c>
      <c r="X992">
        <v>4</v>
      </c>
      <c r="Y992">
        <v>10</v>
      </c>
      <c r="Z992" t="s">
        <v>68</v>
      </c>
    </row>
    <row r="993" spans="1:26">
      <c r="A993" t="s">
        <v>1050</v>
      </c>
      <c r="B993">
        <v>4</v>
      </c>
      <c r="C993" t="str">
        <f t="shared" si="75"/>
        <v>0-17</v>
      </c>
      <c r="D993" t="s">
        <v>22</v>
      </c>
      <c r="E993" s="2">
        <v>45037</v>
      </c>
      <c r="F993" s="2" t="str">
        <f t="shared" ca="1" si="76"/>
        <v>No</v>
      </c>
      <c r="G993" s="2" t="str">
        <f t="shared" si="77"/>
        <v>Apr-2023</v>
      </c>
      <c r="H993" s="2">
        <v>45045</v>
      </c>
      <c r="I993">
        <v>8</v>
      </c>
      <c r="J993" t="s">
        <v>63</v>
      </c>
      <c r="K993">
        <v>4</v>
      </c>
      <c r="L993" t="s">
        <v>35</v>
      </c>
      <c r="M993" s="9">
        <v>9001</v>
      </c>
      <c r="N993" t="s">
        <v>60</v>
      </c>
      <c r="O993" t="s">
        <v>54</v>
      </c>
      <c r="P993" t="s">
        <v>27</v>
      </c>
      <c r="Q993" s="2">
        <v>45035</v>
      </c>
      <c r="R993" s="13">
        <f>(T993-Q993)*1440</f>
        <v>480.00000000349246</v>
      </c>
      <c r="S993" s="13">
        <f t="shared" si="78"/>
        <v>9920</v>
      </c>
      <c r="T993" s="2">
        <v>45035.333333333336</v>
      </c>
      <c r="U993" t="s">
        <v>42</v>
      </c>
      <c r="V993" t="s">
        <v>29</v>
      </c>
      <c r="W993" t="s">
        <v>47</v>
      </c>
      <c r="X993">
        <v>11</v>
      </c>
      <c r="Y993">
        <v>12</v>
      </c>
      <c r="Z993" t="s">
        <v>68</v>
      </c>
    </row>
    <row r="994" spans="1:26">
      <c r="A994" t="s">
        <v>1051</v>
      </c>
      <c r="B994">
        <v>89</v>
      </c>
      <c r="C994" t="str">
        <f t="shared" si="75"/>
        <v>66+</v>
      </c>
      <c r="D994" t="s">
        <v>62</v>
      </c>
      <c r="E994" s="2">
        <v>45166</v>
      </c>
      <c r="F994" s="2" t="str">
        <f t="shared" ca="1" si="76"/>
        <v>No</v>
      </c>
      <c r="G994" s="2" t="str">
        <f t="shared" si="77"/>
        <v>Aug-2023</v>
      </c>
      <c r="H994" s="2">
        <v>45167</v>
      </c>
      <c r="I994">
        <v>1</v>
      </c>
      <c r="J994" t="s">
        <v>57</v>
      </c>
      <c r="K994">
        <v>1</v>
      </c>
      <c r="L994" t="s">
        <v>46</v>
      </c>
      <c r="M994" s="9">
        <v>25946</v>
      </c>
      <c r="N994" t="s">
        <v>25</v>
      </c>
      <c r="O994" t="s">
        <v>54</v>
      </c>
      <c r="P994" t="s">
        <v>41</v>
      </c>
      <c r="Q994" s="2">
        <v>45166</v>
      </c>
      <c r="R994" s="13">
        <f>(T994-Q994)*1440</f>
        <v>59.99999999650754</v>
      </c>
      <c r="S994" s="13">
        <f t="shared" si="78"/>
        <v>11099.999999999563</v>
      </c>
      <c r="T994" s="2">
        <v>45166.041666666664</v>
      </c>
      <c r="U994" t="s">
        <v>42</v>
      </c>
      <c r="V994" t="s">
        <v>29</v>
      </c>
      <c r="W994" t="s">
        <v>43</v>
      </c>
      <c r="X994">
        <v>4</v>
      </c>
      <c r="Y994">
        <v>8</v>
      </c>
      <c r="Z994" t="s">
        <v>68</v>
      </c>
    </row>
    <row r="995" spans="1:26">
      <c r="A995" t="s">
        <v>1052</v>
      </c>
      <c r="B995">
        <v>42</v>
      </c>
      <c r="C995" t="str">
        <f t="shared" si="75"/>
        <v>36-50</v>
      </c>
      <c r="D995" t="s">
        <v>52</v>
      </c>
      <c r="E995" s="2">
        <v>45409</v>
      </c>
      <c r="F995" s="2" t="str">
        <f t="shared" ca="1" si="76"/>
        <v>No</v>
      </c>
      <c r="G995" s="2" t="str">
        <f t="shared" si="77"/>
        <v>Apr-2024</v>
      </c>
      <c r="H995" s="2">
        <v>45412</v>
      </c>
      <c r="I995">
        <v>3</v>
      </c>
      <c r="J995" t="s">
        <v>40</v>
      </c>
      <c r="K995">
        <v>1</v>
      </c>
      <c r="L995" t="s">
        <v>66</v>
      </c>
      <c r="M995" s="9">
        <v>5598</v>
      </c>
      <c r="N995" t="s">
        <v>36</v>
      </c>
      <c r="O995" t="s">
        <v>54</v>
      </c>
      <c r="P995" t="s">
        <v>27</v>
      </c>
      <c r="Q995" s="2">
        <v>45409</v>
      </c>
      <c r="R995" s="13">
        <f>(T995-Q995)*1440</f>
        <v>239.99999999650754</v>
      </c>
      <c r="S995" s="13">
        <f t="shared" si="78"/>
        <v>12677.142857142857</v>
      </c>
      <c r="T995" s="2">
        <v>45409.166666666664</v>
      </c>
      <c r="U995" t="s">
        <v>37</v>
      </c>
      <c r="V995" t="s">
        <v>29</v>
      </c>
      <c r="W995" t="s">
        <v>30</v>
      </c>
      <c r="X995">
        <v>7</v>
      </c>
      <c r="Y995">
        <v>12</v>
      </c>
      <c r="Z995" t="s">
        <v>68</v>
      </c>
    </row>
    <row r="996" spans="1:26">
      <c r="A996" t="s">
        <v>1053</v>
      </c>
      <c r="B996">
        <v>89</v>
      </c>
      <c r="C996" t="str">
        <f t="shared" si="75"/>
        <v>66+</v>
      </c>
      <c r="D996" t="s">
        <v>41</v>
      </c>
      <c r="E996" s="2">
        <v>44952</v>
      </c>
      <c r="F996" s="2" t="str">
        <f t="shared" ca="1" si="76"/>
        <v>No</v>
      </c>
      <c r="G996" s="2" t="str">
        <f t="shared" si="77"/>
        <v>Jan-2023</v>
      </c>
      <c r="H996" s="2">
        <v>44954</v>
      </c>
      <c r="I996">
        <v>2</v>
      </c>
      <c r="J996" t="s">
        <v>23</v>
      </c>
      <c r="K996">
        <v>5</v>
      </c>
      <c r="L996" t="s">
        <v>71</v>
      </c>
      <c r="M996" s="9">
        <v>35316</v>
      </c>
      <c r="N996" t="s">
        <v>67</v>
      </c>
      <c r="O996" t="s">
        <v>54</v>
      </c>
      <c r="P996" t="s">
        <v>41</v>
      </c>
      <c r="Q996" s="2">
        <v>44947</v>
      </c>
      <c r="R996" s="13">
        <f>(T996-Q996)*1440</f>
        <v>900</v>
      </c>
      <c r="S996" s="13">
        <f t="shared" si="78"/>
        <v>14750.000000000582</v>
      </c>
      <c r="T996" s="2">
        <v>44947.625</v>
      </c>
      <c r="U996" t="s">
        <v>42</v>
      </c>
      <c r="V996" t="s">
        <v>29</v>
      </c>
      <c r="W996" t="s">
        <v>47</v>
      </c>
      <c r="X996">
        <v>5</v>
      </c>
      <c r="Y996">
        <v>8</v>
      </c>
      <c r="Z996" t="s">
        <v>48</v>
      </c>
    </row>
    <row r="997" spans="1:26">
      <c r="A997" t="s">
        <v>1054</v>
      </c>
      <c r="B997">
        <v>18</v>
      </c>
      <c r="C997" t="str">
        <f t="shared" si="75"/>
        <v>18-35</v>
      </c>
      <c r="D997" t="s">
        <v>52</v>
      </c>
      <c r="E997" s="2">
        <v>44969</v>
      </c>
      <c r="F997" s="2" t="str">
        <f t="shared" ca="1" si="76"/>
        <v>No</v>
      </c>
      <c r="G997" s="2" t="str">
        <f t="shared" si="77"/>
        <v>Feb-2023</v>
      </c>
      <c r="H997" s="2">
        <v>45089</v>
      </c>
      <c r="I997">
        <v>4</v>
      </c>
      <c r="J997" t="s">
        <v>50</v>
      </c>
      <c r="K997">
        <v>5</v>
      </c>
      <c r="L997" t="s">
        <v>46</v>
      </c>
      <c r="M997" s="9">
        <v>30567</v>
      </c>
      <c r="N997" t="s">
        <v>36</v>
      </c>
      <c r="O997" t="s">
        <v>54</v>
      </c>
      <c r="P997" t="s">
        <v>27</v>
      </c>
      <c r="Q997" s="2">
        <v>45260</v>
      </c>
      <c r="R997" s="13">
        <f>(T997-Q997)*1440</f>
        <v>540</v>
      </c>
      <c r="S997" s="13">
        <f t="shared" si="78"/>
        <v>17520.000000000698</v>
      </c>
      <c r="T997" s="2">
        <v>45260.375</v>
      </c>
      <c r="U997" t="s">
        <v>37</v>
      </c>
      <c r="V997" t="s">
        <v>29</v>
      </c>
      <c r="W997" t="s">
        <v>47</v>
      </c>
      <c r="X997">
        <v>10</v>
      </c>
      <c r="Y997">
        <v>10</v>
      </c>
      <c r="Z997" t="s">
        <v>31</v>
      </c>
    </row>
    <row r="998" spans="1:26">
      <c r="A998" t="s">
        <v>1055</v>
      </c>
      <c r="B998">
        <v>40</v>
      </c>
      <c r="C998" t="str">
        <f t="shared" si="75"/>
        <v>36-50</v>
      </c>
      <c r="D998" t="s">
        <v>52</v>
      </c>
      <c r="E998" s="2">
        <v>45153</v>
      </c>
      <c r="F998" s="2" t="str">
        <f t="shared" ca="1" si="76"/>
        <v>No</v>
      </c>
      <c r="G998" s="2" t="str">
        <f t="shared" si="77"/>
        <v>Aug-2023</v>
      </c>
      <c r="H998" s="2">
        <v>45166</v>
      </c>
      <c r="I998">
        <v>13</v>
      </c>
      <c r="J998" t="s">
        <v>63</v>
      </c>
      <c r="K998">
        <v>2</v>
      </c>
      <c r="L998" t="s">
        <v>46</v>
      </c>
      <c r="M998" s="9">
        <v>31508</v>
      </c>
      <c r="N998" t="s">
        <v>53</v>
      </c>
      <c r="O998" t="s">
        <v>54</v>
      </c>
      <c r="P998" t="s">
        <v>41</v>
      </c>
      <c r="Q998" s="2">
        <v>45238</v>
      </c>
      <c r="R998" s="13">
        <f>(T998-Q998)*1440</f>
        <v>779.99999999650754</v>
      </c>
      <c r="S998" s="13">
        <f t="shared" si="78"/>
        <v>21765.000000000873</v>
      </c>
      <c r="T998" s="2">
        <v>45238.541666666664</v>
      </c>
      <c r="U998" t="s">
        <v>55</v>
      </c>
      <c r="V998" t="s">
        <v>29</v>
      </c>
      <c r="W998" t="s">
        <v>30</v>
      </c>
      <c r="X998">
        <v>4</v>
      </c>
      <c r="Y998">
        <v>10</v>
      </c>
      <c r="Z998" t="s">
        <v>68</v>
      </c>
    </row>
    <row r="999" spans="1:26">
      <c r="A999" t="s">
        <v>1056</v>
      </c>
      <c r="B999">
        <v>72</v>
      </c>
      <c r="C999" t="str">
        <f t="shared" si="75"/>
        <v>66+</v>
      </c>
      <c r="D999" t="s">
        <v>22</v>
      </c>
      <c r="E999" s="2">
        <v>45080</v>
      </c>
      <c r="F999" s="2" t="str">
        <f t="shared" ca="1" si="76"/>
        <v>No</v>
      </c>
      <c r="G999" s="2" t="str">
        <f t="shared" si="77"/>
        <v>Jun-2023</v>
      </c>
      <c r="H999" s="2">
        <v>45002</v>
      </c>
      <c r="I999">
        <v>11</v>
      </c>
      <c r="J999" t="s">
        <v>63</v>
      </c>
      <c r="K999">
        <v>5</v>
      </c>
      <c r="L999" t="s">
        <v>24</v>
      </c>
      <c r="M999" s="9">
        <v>48744</v>
      </c>
      <c r="N999" t="s">
        <v>67</v>
      </c>
      <c r="O999" t="s">
        <v>54</v>
      </c>
      <c r="P999" t="s">
        <v>41</v>
      </c>
      <c r="Q999" s="2">
        <v>44960</v>
      </c>
      <c r="R999" s="13">
        <f>(T999-Q999)*1440</f>
        <v>40440.000000003492</v>
      </c>
      <c r="S999" s="13">
        <f t="shared" si="78"/>
        <v>28760.000000002328</v>
      </c>
      <c r="T999" s="2">
        <v>44988.083333333336</v>
      </c>
      <c r="U999" t="s">
        <v>55</v>
      </c>
      <c r="V999" t="s">
        <v>29</v>
      </c>
      <c r="W999" t="s">
        <v>30</v>
      </c>
      <c r="X999">
        <v>8</v>
      </c>
      <c r="Y999">
        <v>10</v>
      </c>
      <c r="Z999" t="s">
        <v>48</v>
      </c>
    </row>
    <row r="1000" spans="1:26">
      <c r="A1000" t="s">
        <v>1057</v>
      </c>
      <c r="B1000">
        <v>39</v>
      </c>
      <c r="C1000" t="str">
        <f t="shared" si="75"/>
        <v>36-50</v>
      </c>
      <c r="D1000" t="s">
        <v>41</v>
      </c>
      <c r="E1000" s="2">
        <v>45402</v>
      </c>
      <c r="F1000" s="2" t="str">
        <f t="shared" ca="1" si="76"/>
        <v>No</v>
      </c>
      <c r="G1000" s="2" t="str">
        <f t="shared" si="77"/>
        <v>Apr-2024</v>
      </c>
      <c r="H1000" s="2">
        <v>45408</v>
      </c>
      <c r="I1000">
        <v>6</v>
      </c>
      <c r="J1000" t="s">
        <v>23</v>
      </c>
      <c r="K1000">
        <v>2</v>
      </c>
      <c r="L1000" t="s">
        <v>71</v>
      </c>
      <c r="M1000" s="9">
        <v>44159</v>
      </c>
      <c r="N1000" t="s">
        <v>53</v>
      </c>
      <c r="O1000" t="s">
        <v>54</v>
      </c>
      <c r="P1000" t="s">
        <v>27</v>
      </c>
      <c r="Q1000" s="2">
        <v>45397</v>
      </c>
      <c r="R1000" s="13">
        <f>(T1000-Q1000)*1440</f>
        <v>1440</v>
      </c>
      <c r="S1000" s="13">
        <f t="shared" si="78"/>
        <v>22920.000000001746</v>
      </c>
      <c r="T1000" s="2">
        <v>45398</v>
      </c>
      <c r="U1000" t="s">
        <v>37</v>
      </c>
      <c r="V1000" t="s">
        <v>29</v>
      </c>
      <c r="W1000" t="s">
        <v>30</v>
      </c>
      <c r="X1000">
        <v>10</v>
      </c>
      <c r="Y1000">
        <v>8</v>
      </c>
      <c r="Z1000" t="s">
        <v>31</v>
      </c>
    </row>
    <row r="1001" spans="1:26">
      <c r="A1001" t="s">
        <v>1058</v>
      </c>
      <c r="B1001">
        <v>14</v>
      </c>
      <c r="C1001" t="str">
        <f t="shared" si="75"/>
        <v>0-17</v>
      </c>
      <c r="D1001" t="s">
        <v>41</v>
      </c>
      <c r="E1001" s="2">
        <v>45088</v>
      </c>
      <c r="F1001" s="2" t="str">
        <f t="shared" ca="1" si="76"/>
        <v>No</v>
      </c>
      <c r="G1001" s="2" t="str">
        <f t="shared" si="77"/>
        <v>Jun-2023</v>
      </c>
      <c r="H1001" s="2">
        <v>45271</v>
      </c>
      <c r="I1001">
        <v>6</v>
      </c>
      <c r="J1001" t="s">
        <v>23</v>
      </c>
      <c r="K1001">
        <v>1</v>
      </c>
      <c r="L1001" t="s">
        <v>35</v>
      </c>
      <c r="M1001" s="9">
        <v>35276</v>
      </c>
      <c r="N1001" t="s">
        <v>67</v>
      </c>
      <c r="O1001" t="s">
        <v>26</v>
      </c>
      <c r="P1001" t="s">
        <v>27</v>
      </c>
      <c r="Q1001" s="2">
        <v>45088</v>
      </c>
      <c r="R1001" s="13">
        <f>(T1001-Q1001)*1440</f>
        <v>44400.000000003492</v>
      </c>
      <c r="S1001" s="13">
        <f t="shared" si="78"/>
        <v>44400.000000003492</v>
      </c>
      <c r="T1001" s="2">
        <v>45118.833333333336</v>
      </c>
      <c r="U1001" t="s">
        <v>28</v>
      </c>
      <c r="V1001" t="s">
        <v>29</v>
      </c>
      <c r="W1001" t="s">
        <v>30</v>
      </c>
      <c r="X1001">
        <v>8</v>
      </c>
      <c r="Y1001">
        <v>10</v>
      </c>
      <c r="Z1001" t="s">
        <v>68</v>
      </c>
    </row>
    <row r="1003" spans="1:26">
      <c r="R1003" s="13"/>
      <c r="S100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6398-0360-446E-94CB-B47A1A37F4E3}">
  <dimension ref="A1:B9"/>
  <sheetViews>
    <sheetView workbookViewId="0">
      <selection activeCell="C31" sqref="C31"/>
    </sheetView>
  </sheetViews>
  <sheetFormatPr defaultRowHeight="13.8"/>
  <cols>
    <col min="1" max="1" width="13.09765625" bestFit="1" customWidth="1"/>
    <col min="2" max="2" width="29.09765625" bestFit="1" customWidth="1"/>
  </cols>
  <sheetData>
    <row r="1" spans="1:2" ht="22.2" customHeight="1">
      <c r="A1" s="6" t="s">
        <v>1068</v>
      </c>
    </row>
    <row r="2" spans="1:2" ht="15" customHeight="1"/>
    <row r="3" spans="1:2">
      <c r="A3" s="3" t="s">
        <v>1060</v>
      </c>
      <c r="B3" t="s">
        <v>1067</v>
      </c>
    </row>
    <row r="4" spans="1:2">
      <c r="A4" s="4" t="s">
        <v>1061</v>
      </c>
      <c r="B4" s="5">
        <v>7.7441860465116283</v>
      </c>
    </row>
    <row r="5" spans="1:2">
      <c r="A5" s="4" t="s">
        <v>1062</v>
      </c>
      <c r="B5" s="5">
        <v>7.7281553398058254</v>
      </c>
    </row>
    <row r="6" spans="1:2">
      <c r="A6" s="4" t="s">
        <v>1063</v>
      </c>
      <c r="B6" s="5">
        <v>7.375</v>
      </c>
    </row>
    <row r="7" spans="1:2">
      <c r="A7" s="4" t="s">
        <v>1064</v>
      </c>
      <c r="B7" s="5">
        <v>8.2072538860103634</v>
      </c>
    </row>
    <row r="8" spans="1:2">
      <c r="A8" s="4" t="s">
        <v>1065</v>
      </c>
      <c r="B8" s="5">
        <v>8.1410256410256405</v>
      </c>
    </row>
    <row r="9" spans="1:2">
      <c r="A9" s="4" t="s">
        <v>1066</v>
      </c>
      <c r="B9" s="5">
        <v>7.867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0F63-6D2A-4C57-B24D-EC695D1BEF06}">
  <dimension ref="A1:H29"/>
  <sheetViews>
    <sheetView workbookViewId="0">
      <selection activeCell="J5" sqref="J5"/>
    </sheetView>
  </sheetViews>
  <sheetFormatPr defaultRowHeight="13.8"/>
  <cols>
    <col min="1" max="1" width="17.3984375" bestFit="1" customWidth="1"/>
    <col min="2" max="2" width="16.09765625" bestFit="1" customWidth="1"/>
    <col min="3" max="3" width="11" bestFit="1" customWidth="1"/>
    <col min="4" max="4" width="16.296875" bestFit="1" customWidth="1"/>
    <col min="5" max="5" width="4" bestFit="1" customWidth="1"/>
    <col min="6" max="6" width="10" bestFit="1" customWidth="1"/>
    <col min="7" max="7" width="11.59765625" bestFit="1" customWidth="1"/>
    <col min="8" max="8" width="11" bestFit="1" customWidth="1"/>
  </cols>
  <sheetData>
    <row r="1" spans="1:8" ht="24" customHeight="1">
      <c r="A1" s="6" t="s">
        <v>1096</v>
      </c>
    </row>
    <row r="3" spans="1:8">
      <c r="A3" s="3" t="s">
        <v>1095</v>
      </c>
      <c r="B3" s="3" t="s">
        <v>1094</v>
      </c>
    </row>
    <row r="4" spans="1:8">
      <c r="A4" s="3" t="s">
        <v>1060</v>
      </c>
      <c r="B4" t="s">
        <v>52</v>
      </c>
      <c r="C4" t="s">
        <v>41</v>
      </c>
      <c r="D4" t="s">
        <v>45</v>
      </c>
      <c r="E4" t="s">
        <v>33</v>
      </c>
      <c r="F4" t="s">
        <v>22</v>
      </c>
      <c r="G4" t="s">
        <v>62</v>
      </c>
      <c r="H4" t="s">
        <v>1066</v>
      </c>
    </row>
    <row r="5" spans="1:8">
      <c r="A5" s="4" t="s">
        <v>1070</v>
      </c>
      <c r="B5" s="5">
        <v>12</v>
      </c>
      <c r="C5" s="5">
        <v>9</v>
      </c>
      <c r="D5" s="5">
        <v>14</v>
      </c>
      <c r="E5" s="5">
        <v>9</v>
      </c>
      <c r="F5" s="5">
        <v>10</v>
      </c>
      <c r="G5" s="5">
        <v>9</v>
      </c>
      <c r="H5" s="5">
        <v>63</v>
      </c>
    </row>
    <row r="6" spans="1:8">
      <c r="A6" s="4" t="s">
        <v>1071</v>
      </c>
      <c r="B6" s="5">
        <v>8</v>
      </c>
      <c r="C6" s="5">
        <v>6</v>
      </c>
      <c r="D6" s="5">
        <v>8</v>
      </c>
      <c r="E6" s="5">
        <v>10</v>
      </c>
      <c r="F6" s="5">
        <v>8</v>
      </c>
      <c r="G6" s="5">
        <v>9</v>
      </c>
      <c r="H6" s="5">
        <v>49</v>
      </c>
    </row>
    <row r="7" spans="1:8">
      <c r="A7" s="4" t="s">
        <v>1072</v>
      </c>
      <c r="B7" s="5">
        <v>6</v>
      </c>
      <c r="C7" s="5">
        <v>13</v>
      </c>
      <c r="D7" s="5">
        <v>11</v>
      </c>
      <c r="E7" s="5">
        <v>11</v>
      </c>
      <c r="F7" s="5">
        <v>16</v>
      </c>
      <c r="G7" s="5">
        <v>10</v>
      </c>
      <c r="H7" s="5">
        <v>67</v>
      </c>
    </row>
    <row r="8" spans="1:8">
      <c r="A8" s="4" t="s">
        <v>1073</v>
      </c>
      <c r="B8" s="5">
        <v>2</v>
      </c>
      <c r="C8" s="5"/>
      <c r="D8" s="5">
        <v>2</v>
      </c>
      <c r="E8" s="5"/>
      <c r="F8" s="5"/>
      <c r="G8" s="5">
        <v>3</v>
      </c>
      <c r="H8" s="5">
        <v>7</v>
      </c>
    </row>
    <row r="9" spans="1:8">
      <c r="A9" s="4" t="s">
        <v>1074</v>
      </c>
      <c r="B9" s="5">
        <v>9</v>
      </c>
      <c r="C9" s="5">
        <v>10</v>
      </c>
      <c r="D9" s="5">
        <v>13</v>
      </c>
      <c r="E9" s="5">
        <v>3</v>
      </c>
      <c r="F9" s="5">
        <v>9</v>
      </c>
      <c r="G9" s="5">
        <v>11</v>
      </c>
      <c r="H9" s="5">
        <v>55</v>
      </c>
    </row>
    <row r="10" spans="1:8">
      <c r="A10" s="4" t="s">
        <v>1075</v>
      </c>
      <c r="B10" s="5"/>
      <c r="C10" s="5">
        <v>4</v>
      </c>
      <c r="D10" s="5">
        <v>4</v>
      </c>
      <c r="E10" s="5">
        <v>1</v>
      </c>
      <c r="F10" s="5"/>
      <c r="G10" s="5">
        <v>1</v>
      </c>
      <c r="H10" s="5">
        <v>10</v>
      </c>
    </row>
    <row r="11" spans="1:8">
      <c r="A11" s="4" t="s">
        <v>1076</v>
      </c>
      <c r="B11" s="5">
        <v>7</v>
      </c>
      <c r="C11" s="5">
        <v>8</v>
      </c>
      <c r="D11" s="5">
        <v>6</v>
      </c>
      <c r="E11" s="5">
        <v>16</v>
      </c>
      <c r="F11" s="5">
        <v>8</v>
      </c>
      <c r="G11" s="5">
        <v>6</v>
      </c>
      <c r="H11" s="5">
        <v>51</v>
      </c>
    </row>
    <row r="12" spans="1:8">
      <c r="A12" s="4" t="s">
        <v>1077</v>
      </c>
      <c r="B12" s="5">
        <v>11</v>
      </c>
      <c r="C12" s="5">
        <v>8</v>
      </c>
      <c r="D12" s="5">
        <v>8</v>
      </c>
      <c r="E12" s="5">
        <v>7</v>
      </c>
      <c r="F12" s="5">
        <v>6</v>
      </c>
      <c r="G12" s="5">
        <v>3</v>
      </c>
      <c r="H12" s="5">
        <v>43</v>
      </c>
    </row>
    <row r="13" spans="1:8">
      <c r="A13" s="4" t="s">
        <v>1078</v>
      </c>
      <c r="B13" s="5">
        <v>5</v>
      </c>
      <c r="C13" s="5">
        <v>7</v>
      </c>
      <c r="D13" s="5">
        <v>12</v>
      </c>
      <c r="E13" s="5">
        <v>13</v>
      </c>
      <c r="F13" s="5">
        <v>10</v>
      </c>
      <c r="G13" s="5">
        <v>5</v>
      </c>
      <c r="H13" s="5">
        <v>52</v>
      </c>
    </row>
    <row r="14" spans="1:8">
      <c r="A14" s="4" t="s">
        <v>1079</v>
      </c>
      <c r="B14" s="5">
        <v>9</v>
      </c>
      <c r="C14" s="5">
        <v>12</v>
      </c>
      <c r="D14" s="5">
        <v>9</v>
      </c>
      <c r="E14" s="5">
        <v>5</v>
      </c>
      <c r="F14" s="5">
        <v>9</v>
      </c>
      <c r="G14" s="5">
        <v>4</v>
      </c>
      <c r="H14" s="5">
        <v>48</v>
      </c>
    </row>
    <row r="15" spans="1:8">
      <c r="A15" s="4" t="s">
        <v>1080</v>
      </c>
      <c r="B15" s="5">
        <v>9</v>
      </c>
      <c r="C15" s="5">
        <v>11</v>
      </c>
      <c r="D15" s="5">
        <v>6</v>
      </c>
      <c r="E15" s="5">
        <v>10</v>
      </c>
      <c r="F15" s="5">
        <v>14</v>
      </c>
      <c r="G15" s="5">
        <v>4</v>
      </c>
      <c r="H15" s="5">
        <v>54</v>
      </c>
    </row>
    <row r="16" spans="1:8">
      <c r="A16" s="4" t="s">
        <v>1081</v>
      </c>
      <c r="B16" s="5"/>
      <c r="C16" s="5">
        <v>1</v>
      </c>
      <c r="D16" s="5">
        <v>1</v>
      </c>
      <c r="E16" s="5">
        <v>1</v>
      </c>
      <c r="F16" s="5">
        <v>1</v>
      </c>
      <c r="G16" s="5">
        <v>2</v>
      </c>
      <c r="H16" s="5">
        <v>6</v>
      </c>
    </row>
    <row r="17" spans="1:8">
      <c r="A17" s="4" t="s">
        <v>1082</v>
      </c>
      <c r="B17" s="5">
        <v>15</v>
      </c>
      <c r="C17" s="5">
        <v>10</v>
      </c>
      <c r="D17" s="5">
        <v>9</v>
      </c>
      <c r="E17" s="5">
        <v>10</v>
      </c>
      <c r="F17" s="5">
        <v>10</v>
      </c>
      <c r="G17" s="5">
        <v>3</v>
      </c>
      <c r="H17" s="5">
        <v>57</v>
      </c>
    </row>
    <row r="18" spans="1:8">
      <c r="A18" s="4" t="s">
        <v>1083</v>
      </c>
      <c r="B18" s="5">
        <v>3</v>
      </c>
      <c r="C18" s="5">
        <v>6</v>
      </c>
      <c r="D18" s="5">
        <v>2</v>
      </c>
      <c r="E18" s="5">
        <v>5</v>
      </c>
      <c r="F18" s="5">
        <v>3</v>
      </c>
      <c r="G18" s="5">
        <v>4</v>
      </c>
      <c r="H18" s="5">
        <v>23</v>
      </c>
    </row>
    <row r="19" spans="1:8">
      <c r="A19" s="4" t="s">
        <v>1084</v>
      </c>
      <c r="B19" s="5">
        <v>7</v>
      </c>
      <c r="C19" s="5">
        <v>13</v>
      </c>
      <c r="D19" s="5">
        <v>12</v>
      </c>
      <c r="E19" s="5">
        <v>14</v>
      </c>
      <c r="F19" s="5">
        <v>7</v>
      </c>
      <c r="G19" s="5">
        <v>9</v>
      </c>
      <c r="H19" s="5">
        <v>62</v>
      </c>
    </row>
    <row r="20" spans="1:8">
      <c r="A20" s="4" t="s">
        <v>1085</v>
      </c>
      <c r="B20" s="5">
        <v>7</v>
      </c>
      <c r="C20" s="5">
        <v>10</v>
      </c>
      <c r="D20" s="5">
        <v>8</v>
      </c>
      <c r="E20" s="5">
        <v>7</v>
      </c>
      <c r="F20" s="5">
        <v>14</v>
      </c>
      <c r="G20" s="5">
        <v>6</v>
      </c>
      <c r="H20" s="5">
        <v>52</v>
      </c>
    </row>
    <row r="21" spans="1:8">
      <c r="A21" s="4" t="s">
        <v>1086</v>
      </c>
      <c r="B21" s="5">
        <v>8</v>
      </c>
      <c r="C21" s="5">
        <v>9</v>
      </c>
      <c r="D21" s="5">
        <v>8</v>
      </c>
      <c r="E21" s="5">
        <v>7</v>
      </c>
      <c r="F21" s="5">
        <v>8</v>
      </c>
      <c r="G21" s="5">
        <v>5</v>
      </c>
      <c r="H21" s="5">
        <v>45</v>
      </c>
    </row>
    <row r="22" spans="1:8">
      <c r="A22" s="4" t="s">
        <v>1087</v>
      </c>
      <c r="B22" s="5">
        <v>5</v>
      </c>
      <c r="C22" s="5">
        <v>5</v>
      </c>
      <c r="D22" s="5">
        <v>8</v>
      </c>
      <c r="E22" s="5">
        <v>7</v>
      </c>
      <c r="F22" s="5">
        <v>2</v>
      </c>
      <c r="G22" s="5">
        <v>12</v>
      </c>
      <c r="H22" s="5">
        <v>39</v>
      </c>
    </row>
    <row r="23" spans="1:8">
      <c r="A23" s="4" t="s">
        <v>1088</v>
      </c>
      <c r="B23" s="5">
        <v>13</v>
      </c>
      <c r="C23" s="5">
        <v>8</v>
      </c>
      <c r="D23" s="5">
        <v>11</v>
      </c>
      <c r="E23" s="5">
        <v>8</v>
      </c>
      <c r="F23" s="5">
        <v>9</v>
      </c>
      <c r="G23" s="5">
        <v>9</v>
      </c>
      <c r="H23" s="5">
        <v>58</v>
      </c>
    </row>
    <row r="24" spans="1:8">
      <c r="A24" s="4" t="s">
        <v>1089</v>
      </c>
      <c r="B24" s="5">
        <v>2</v>
      </c>
      <c r="C24" s="5">
        <v>1</v>
      </c>
      <c r="D24" s="5"/>
      <c r="E24" s="5"/>
      <c r="F24" s="5">
        <v>3</v>
      </c>
      <c r="G24" s="5">
        <v>4</v>
      </c>
      <c r="H24" s="5">
        <v>10</v>
      </c>
    </row>
    <row r="25" spans="1:8">
      <c r="A25" s="4" t="s">
        <v>1090</v>
      </c>
      <c r="B25" s="5">
        <v>13</v>
      </c>
      <c r="C25" s="5">
        <v>8</v>
      </c>
      <c r="D25" s="5">
        <v>14</v>
      </c>
      <c r="E25" s="5">
        <v>14</v>
      </c>
      <c r="F25" s="5">
        <v>10</v>
      </c>
      <c r="G25" s="5">
        <v>5</v>
      </c>
      <c r="H25" s="5">
        <v>64</v>
      </c>
    </row>
    <row r="26" spans="1:8">
      <c r="A26" s="4" t="s">
        <v>1091</v>
      </c>
      <c r="B26" s="5">
        <v>3</v>
      </c>
      <c r="C26" s="5">
        <v>1</v>
      </c>
      <c r="D26" s="5">
        <v>2</v>
      </c>
      <c r="E26" s="5">
        <v>5</v>
      </c>
      <c r="F26" s="5">
        <v>2</v>
      </c>
      <c r="G26" s="5">
        <v>2</v>
      </c>
      <c r="H26" s="5">
        <v>15</v>
      </c>
    </row>
    <row r="27" spans="1:8">
      <c r="A27" s="4" t="s">
        <v>1092</v>
      </c>
      <c r="B27" s="5">
        <v>8</v>
      </c>
      <c r="C27" s="5">
        <v>6</v>
      </c>
      <c r="D27" s="5">
        <v>12</v>
      </c>
      <c r="E27" s="5">
        <v>14</v>
      </c>
      <c r="F27" s="5">
        <v>8</v>
      </c>
      <c r="G27" s="5">
        <v>8</v>
      </c>
      <c r="H27" s="5">
        <v>56</v>
      </c>
    </row>
    <row r="28" spans="1:8">
      <c r="A28" s="4" t="s">
        <v>1093</v>
      </c>
      <c r="B28" s="5">
        <v>3</v>
      </c>
      <c r="C28" s="5"/>
      <c r="D28" s="5">
        <v>1</v>
      </c>
      <c r="E28" s="5">
        <v>2</v>
      </c>
      <c r="F28" s="5">
        <v>6</v>
      </c>
      <c r="G28" s="5">
        <v>2</v>
      </c>
      <c r="H28" s="5">
        <v>14</v>
      </c>
    </row>
    <row r="29" spans="1:8">
      <c r="A29" s="4" t="s">
        <v>1066</v>
      </c>
      <c r="B29" s="5">
        <v>165</v>
      </c>
      <c r="C29" s="5">
        <v>166</v>
      </c>
      <c r="D29" s="5">
        <v>181</v>
      </c>
      <c r="E29" s="5">
        <v>179</v>
      </c>
      <c r="F29" s="5">
        <v>173</v>
      </c>
      <c r="G29" s="5">
        <v>136</v>
      </c>
      <c r="H29" s="5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FC68-2F13-4DDD-BE46-5DBCAD017E05}">
  <dimension ref="A1:B10"/>
  <sheetViews>
    <sheetView workbookViewId="0">
      <selection activeCell="B13" sqref="B13"/>
    </sheetView>
  </sheetViews>
  <sheetFormatPr defaultRowHeight="13.8"/>
  <cols>
    <col min="1" max="1" width="13.09765625" bestFit="1" customWidth="1"/>
    <col min="2" max="2" width="17.3984375" bestFit="1" customWidth="1"/>
  </cols>
  <sheetData>
    <row r="1" spans="1:2" ht="27.6" customHeight="1">
      <c r="A1" s="6" t="s">
        <v>1097</v>
      </c>
    </row>
    <row r="3" spans="1:2">
      <c r="A3" s="3" t="s">
        <v>1060</v>
      </c>
      <c r="B3" t="s">
        <v>1095</v>
      </c>
    </row>
    <row r="4" spans="1:2">
      <c r="A4" s="4" t="s">
        <v>50</v>
      </c>
      <c r="B4" s="5">
        <v>173</v>
      </c>
    </row>
    <row r="5" spans="1:2">
      <c r="A5" s="4" t="s">
        <v>57</v>
      </c>
      <c r="B5" s="5">
        <v>170</v>
      </c>
    </row>
    <row r="6" spans="1:2">
      <c r="A6" s="4" t="s">
        <v>34</v>
      </c>
      <c r="B6" s="5">
        <v>185</v>
      </c>
    </row>
    <row r="7" spans="1:2">
      <c r="A7" s="4" t="s">
        <v>23</v>
      </c>
      <c r="B7" s="5">
        <v>167</v>
      </c>
    </row>
    <row r="8" spans="1:2">
      <c r="A8" s="4" t="s">
        <v>40</v>
      </c>
      <c r="B8" s="5">
        <v>157</v>
      </c>
    </row>
    <row r="9" spans="1:2">
      <c r="A9" s="4" t="s">
        <v>63</v>
      </c>
      <c r="B9" s="5">
        <v>148</v>
      </c>
    </row>
    <row r="10" spans="1:2">
      <c r="A10" s="4" t="s">
        <v>1066</v>
      </c>
      <c r="B10" s="5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18A9-CCB9-4B31-87E2-0DE149AB8116}">
  <dimension ref="A1:B10"/>
  <sheetViews>
    <sheetView workbookViewId="0">
      <selection activeCell="B14" sqref="B14"/>
    </sheetView>
  </sheetViews>
  <sheetFormatPr defaultRowHeight="13.8"/>
  <cols>
    <col min="1" max="1" width="13.09765625" bestFit="1" customWidth="1"/>
    <col min="2" max="2" width="24.796875" bestFit="1" customWidth="1"/>
  </cols>
  <sheetData>
    <row r="1" spans="1:2" ht="25.8" customHeight="1">
      <c r="A1" s="6" t="s">
        <v>1099</v>
      </c>
    </row>
    <row r="3" spans="1:2">
      <c r="A3" s="3" t="s">
        <v>1060</v>
      </c>
      <c r="B3" t="s">
        <v>1098</v>
      </c>
    </row>
    <row r="4" spans="1:2">
      <c r="A4" s="4" t="s">
        <v>50</v>
      </c>
      <c r="B4" s="5">
        <v>25417.352601156068</v>
      </c>
    </row>
    <row r="5" spans="1:2">
      <c r="A5" s="4" t="s">
        <v>57</v>
      </c>
      <c r="B5" s="5">
        <v>26497.3</v>
      </c>
    </row>
    <row r="6" spans="1:2">
      <c r="A6" s="4" t="s">
        <v>34</v>
      </c>
      <c r="B6" s="5">
        <v>28021.789189189189</v>
      </c>
    </row>
    <row r="7" spans="1:2">
      <c r="A7" s="4" t="s">
        <v>23</v>
      </c>
      <c r="B7" s="5">
        <v>27130.820359281439</v>
      </c>
    </row>
    <row r="8" spans="1:2">
      <c r="A8" s="4" t="s">
        <v>40</v>
      </c>
      <c r="B8" s="5">
        <v>27084.993630573248</v>
      </c>
    </row>
    <row r="9" spans="1:2">
      <c r="A9" s="4" t="s">
        <v>63</v>
      </c>
      <c r="B9" s="5">
        <v>26460.027027027027</v>
      </c>
    </row>
    <row r="10" spans="1:2">
      <c r="A10" s="4" t="s">
        <v>1066</v>
      </c>
      <c r="B10" s="5">
        <v>26785.048999999999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76FA-343C-45AD-8DFD-1AE5989A3D1F}">
  <dimension ref="A1:B28"/>
  <sheetViews>
    <sheetView workbookViewId="0">
      <selection activeCell="C3" sqref="C3"/>
    </sheetView>
  </sheetViews>
  <sheetFormatPr defaultRowHeight="13.8"/>
  <cols>
    <col min="1" max="1" width="13.09765625" bestFit="1" customWidth="1"/>
    <col min="2" max="2" width="17.3984375" bestFit="1" customWidth="1"/>
  </cols>
  <sheetData>
    <row r="1" spans="1:2" ht="26.4" customHeight="1">
      <c r="A1" s="6" t="s">
        <v>1100</v>
      </c>
    </row>
    <row r="3" spans="1:2">
      <c r="A3" s="3" t="s">
        <v>1060</v>
      </c>
      <c r="B3" t="s">
        <v>1095</v>
      </c>
    </row>
    <row r="4" spans="1:2">
      <c r="A4" s="4" t="s">
        <v>1070</v>
      </c>
      <c r="B4" s="5">
        <v>63</v>
      </c>
    </row>
    <row r="5" spans="1:2">
      <c r="A5" s="4" t="s">
        <v>1071</v>
      </c>
      <c r="B5" s="5">
        <v>49</v>
      </c>
    </row>
    <row r="6" spans="1:2">
      <c r="A6" s="4" t="s">
        <v>1072</v>
      </c>
      <c r="B6" s="5">
        <v>67</v>
      </c>
    </row>
    <row r="7" spans="1:2">
      <c r="A7" s="4" t="s">
        <v>1073</v>
      </c>
      <c r="B7" s="5">
        <v>7</v>
      </c>
    </row>
    <row r="8" spans="1:2">
      <c r="A8" s="4" t="s">
        <v>1074</v>
      </c>
      <c r="B8" s="5">
        <v>55</v>
      </c>
    </row>
    <row r="9" spans="1:2">
      <c r="A9" s="4" t="s">
        <v>1075</v>
      </c>
      <c r="B9" s="5">
        <v>10</v>
      </c>
    </row>
    <row r="10" spans="1:2">
      <c r="A10" s="4" t="s">
        <v>1076</v>
      </c>
      <c r="B10" s="5">
        <v>51</v>
      </c>
    </row>
    <row r="11" spans="1:2">
      <c r="A11" s="4" t="s">
        <v>1077</v>
      </c>
      <c r="B11" s="5">
        <v>43</v>
      </c>
    </row>
    <row r="12" spans="1:2">
      <c r="A12" s="4" t="s">
        <v>1078</v>
      </c>
      <c r="B12" s="5">
        <v>52</v>
      </c>
    </row>
    <row r="13" spans="1:2">
      <c r="A13" s="4" t="s">
        <v>1079</v>
      </c>
      <c r="B13" s="5">
        <v>48</v>
      </c>
    </row>
    <row r="14" spans="1:2">
      <c r="A14" s="4" t="s">
        <v>1080</v>
      </c>
      <c r="B14" s="5">
        <v>54</v>
      </c>
    </row>
    <row r="15" spans="1:2">
      <c r="A15" s="4" t="s">
        <v>1081</v>
      </c>
      <c r="B15" s="5">
        <v>6</v>
      </c>
    </row>
    <row r="16" spans="1:2">
      <c r="A16" s="4" t="s">
        <v>1082</v>
      </c>
      <c r="B16" s="5">
        <v>57</v>
      </c>
    </row>
    <row r="17" spans="1:2">
      <c r="A17" s="4" t="s">
        <v>1083</v>
      </c>
      <c r="B17" s="5">
        <v>23</v>
      </c>
    </row>
    <row r="18" spans="1:2">
      <c r="A18" s="4" t="s">
        <v>1084</v>
      </c>
      <c r="B18" s="5">
        <v>62</v>
      </c>
    </row>
    <row r="19" spans="1:2">
      <c r="A19" s="4" t="s">
        <v>1085</v>
      </c>
      <c r="B19" s="5">
        <v>52</v>
      </c>
    </row>
    <row r="20" spans="1:2">
      <c r="A20" s="4" t="s">
        <v>1086</v>
      </c>
      <c r="B20" s="5">
        <v>45</v>
      </c>
    </row>
    <row r="21" spans="1:2">
      <c r="A21" s="4" t="s">
        <v>1087</v>
      </c>
      <c r="B21" s="5">
        <v>39</v>
      </c>
    </row>
    <row r="22" spans="1:2">
      <c r="A22" s="4" t="s">
        <v>1088</v>
      </c>
      <c r="B22" s="5">
        <v>58</v>
      </c>
    </row>
    <row r="23" spans="1:2">
      <c r="A23" s="4" t="s">
        <v>1089</v>
      </c>
      <c r="B23" s="5">
        <v>10</v>
      </c>
    </row>
    <row r="24" spans="1:2">
      <c r="A24" s="4" t="s">
        <v>1090</v>
      </c>
      <c r="B24" s="5">
        <v>64</v>
      </c>
    </row>
    <row r="25" spans="1:2">
      <c r="A25" s="4" t="s">
        <v>1091</v>
      </c>
      <c r="B25" s="5">
        <v>15</v>
      </c>
    </row>
    <row r="26" spans="1:2">
      <c r="A26" s="4" t="s">
        <v>1092</v>
      </c>
      <c r="B26" s="5">
        <v>56</v>
      </c>
    </row>
    <row r="27" spans="1:2">
      <c r="A27" s="4" t="s">
        <v>1093</v>
      </c>
      <c r="B27" s="5">
        <v>14</v>
      </c>
    </row>
    <row r="28" spans="1:2">
      <c r="A28" s="4" t="s">
        <v>1066</v>
      </c>
      <c r="B28" s="5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E5E-583D-4A38-A8E8-99600C95C6B0}">
  <dimension ref="A1:B40"/>
  <sheetViews>
    <sheetView workbookViewId="0">
      <selection activeCell="N4" sqref="N4"/>
    </sheetView>
  </sheetViews>
  <sheetFormatPr defaultRowHeight="13.8"/>
  <cols>
    <col min="1" max="1" width="18" bestFit="1" customWidth="1"/>
    <col min="2" max="2" width="17.3984375" bestFit="1" customWidth="1"/>
  </cols>
  <sheetData>
    <row r="1" spans="1:2" ht="32.4" customHeight="1">
      <c r="A1" s="6" t="s">
        <v>1101</v>
      </c>
    </row>
    <row r="3" spans="1:2">
      <c r="A3" s="3" t="s">
        <v>1060</v>
      </c>
      <c r="B3" t="s">
        <v>1095</v>
      </c>
    </row>
    <row r="4" spans="1:2">
      <c r="A4" s="4" t="s">
        <v>52</v>
      </c>
      <c r="B4" s="5">
        <v>165</v>
      </c>
    </row>
    <row r="5" spans="1:2">
      <c r="A5" s="10" t="s">
        <v>53</v>
      </c>
      <c r="B5" s="5">
        <v>31</v>
      </c>
    </row>
    <row r="6" spans="1:2">
      <c r="A6" s="10" t="s">
        <v>67</v>
      </c>
      <c r="B6" s="5">
        <v>31</v>
      </c>
    </row>
    <row r="7" spans="1:2">
      <c r="A7" s="10" t="s">
        <v>25</v>
      </c>
      <c r="B7" s="5">
        <v>34</v>
      </c>
    </row>
    <row r="8" spans="1:2">
      <c r="A8" s="10" t="s">
        <v>60</v>
      </c>
      <c r="B8" s="5">
        <v>35</v>
      </c>
    </row>
    <row r="9" spans="1:2">
      <c r="A9" s="10" t="s">
        <v>36</v>
      </c>
      <c r="B9" s="5">
        <v>34</v>
      </c>
    </row>
    <row r="10" spans="1:2">
      <c r="A10" s="4" t="s">
        <v>41</v>
      </c>
      <c r="B10" s="5">
        <v>166</v>
      </c>
    </row>
    <row r="11" spans="1:2">
      <c r="A11" s="10" t="s">
        <v>53</v>
      </c>
      <c r="B11" s="5">
        <v>35</v>
      </c>
    </row>
    <row r="12" spans="1:2">
      <c r="A12" s="10" t="s">
        <v>67</v>
      </c>
      <c r="B12" s="5">
        <v>29</v>
      </c>
    </row>
    <row r="13" spans="1:2">
      <c r="A13" s="10" t="s">
        <v>25</v>
      </c>
      <c r="B13" s="5">
        <v>39</v>
      </c>
    </row>
    <row r="14" spans="1:2">
      <c r="A14" s="10" t="s">
        <v>60</v>
      </c>
      <c r="B14" s="5">
        <v>29</v>
      </c>
    </row>
    <row r="15" spans="1:2">
      <c r="A15" s="10" t="s">
        <v>36</v>
      </c>
      <c r="B15" s="5">
        <v>34</v>
      </c>
    </row>
    <row r="16" spans="1:2">
      <c r="A16" s="4" t="s">
        <v>45</v>
      </c>
      <c r="B16" s="5">
        <v>181</v>
      </c>
    </row>
    <row r="17" spans="1:2">
      <c r="A17" s="10" t="s">
        <v>53</v>
      </c>
      <c r="B17" s="5">
        <v>26</v>
      </c>
    </row>
    <row r="18" spans="1:2">
      <c r="A18" s="10" t="s">
        <v>67</v>
      </c>
      <c r="B18" s="5">
        <v>37</v>
      </c>
    </row>
    <row r="19" spans="1:2">
      <c r="A19" s="10" t="s">
        <v>25</v>
      </c>
      <c r="B19" s="5">
        <v>39</v>
      </c>
    </row>
    <row r="20" spans="1:2">
      <c r="A20" s="10" t="s">
        <v>60</v>
      </c>
      <c r="B20" s="5">
        <v>39</v>
      </c>
    </row>
    <row r="21" spans="1:2">
      <c r="A21" s="10" t="s">
        <v>36</v>
      </c>
      <c r="B21" s="5">
        <v>40</v>
      </c>
    </row>
    <row r="22" spans="1:2">
      <c r="A22" s="4" t="s">
        <v>33</v>
      </c>
      <c r="B22" s="5">
        <v>179</v>
      </c>
    </row>
    <row r="23" spans="1:2">
      <c r="A23" s="10" t="s">
        <v>53</v>
      </c>
      <c r="B23" s="5">
        <v>45</v>
      </c>
    </row>
    <row r="24" spans="1:2">
      <c r="A24" s="10" t="s">
        <v>67</v>
      </c>
      <c r="B24" s="5">
        <v>35</v>
      </c>
    </row>
    <row r="25" spans="1:2">
      <c r="A25" s="10" t="s">
        <v>25</v>
      </c>
      <c r="B25" s="5">
        <v>27</v>
      </c>
    </row>
    <row r="26" spans="1:2">
      <c r="A26" s="10" t="s">
        <v>60</v>
      </c>
      <c r="B26" s="5">
        <v>35</v>
      </c>
    </row>
    <row r="27" spans="1:2">
      <c r="A27" s="10" t="s">
        <v>36</v>
      </c>
      <c r="B27" s="5">
        <v>37</v>
      </c>
    </row>
    <row r="28" spans="1:2">
      <c r="A28" s="4" t="s">
        <v>22</v>
      </c>
      <c r="B28" s="5">
        <v>173</v>
      </c>
    </row>
    <row r="29" spans="1:2">
      <c r="A29" s="10" t="s">
        <v>53</v>
      </c>
      <c r="B29" s="5">
        <v>25</v>
      </c>
    </row>
    <row r="30" spans="1:2">
      <c r="A30" s="10" t="s">
        <v>67</v>
      </c>
      <c r="B30" s="5">
        <v>40</v>
      </c>
    </row>
    <row r="31" spans="1:2">
      <c r="A31" s="10" t="s">
        <v>25</v>
      </c>
      <c r="B31" s="5">
        <v>36</v>
      </c>
    </row>
    <row r="32" spans="1:2">
      <c r="A32" s="10" t="s">
        <v>60</v>
      </c>
      <c r="B32" s="5">
        <v>44</v>
      </c>
    </row>
    <row r="33" spans="1:2">
      <c r="A33" s="10" t="s">
        <v>36</v>
      </c>
      <c r="B33" s="5">
        <v>28</v>
      </c>
    </row>
    <row r="34" spans="1:2">
      <c r="A34" s="4" t="s">
        <v>62</v>
      </c>
      <c r="B34" s="5">
        <v>136</v>
      </c>
    </row>
    <row r="35" spans="1:2">
      <c r="A35" s="10" t="s">
        <v>53</v>
      </c>
      <c r="B35" s="5">
        <v>24</v>
      </c>
    </row>
    <row r="36" spans="1:2">
      <c r="A36" s="10" t="s">
        <v>67</v>
      </c>
      <c r="B36" s="5">
        <v>25</v>
      </c>
    </row>
    <row r="37" spans="1:2">
      <c r="A37" s="10" t="s">
        <v>25</v>
      </c>
      <c r="B37" s="5">
        <v>23</v>
      </c>
    </row>
    <row r="38" spans="1:2">
      <c r="A38" s="10" t="s">
        <v>60</v>
      </c>
      <c r="B38" s="5">
        <v>37</v>
      </c>
    </row>
    <row r="39" spans="1:2">
      <c r="A39" s="10" t="s">
        <v>36</v>
      </c>
      <c r="B39" s="5">
        <v>27</v>
      </c>
    </row>
    <row r="40" spans="1:2">
      <c r="A40" s="4" t="s">
        <v>1066</v>
      </c>
      <c r="B40" s="5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B80C-4900-4605-AF96-41670346D81A}">
  <dimension ref="A1:B6"/>
  <sheetViews>
    <sheetView workbookViewId="0">
      <selection activeCell="A9" sqref="A9"/>
    </sheetView>
  </sheetViews>
  <sheetFormatPr defaultRowHeight="13.8"/>
  <cols>
    <col min="1" max="1" width="13.09765625" bestFit="1" customWidth="1"/>
    <col min="2" max="2" width="17.3984375" bestFit="1" customWidth="1"/>
  </cols>
  <sheetData>
    <row r="1" spans="1:2" ht="26.4" customHeight="1">
      <c r="A1" s="6" t="s">
        <v>1102</v>
      </c>
    </row>
    <row r="3" spans="1:2">
      <c r="A3" s="3" t="s">
        <v>1060</v>
      </c>
      <c r="B3" t="s">
        <v>1095</v>
      </c>
    </row>
    <row r="4" spans="1:2">
      <c r="A4" s="4" t="s">
        <v>26</v>
      </c>
      <c r="B4" s="11">
        <v>0.38300000000000001</v>
      </c>
    </row>
    <row r="5" spans="1:2">
      <c r="A5" s="4" t="s">
        <v>54</v>
      </c>
      <c r="B5" s="11">
        <v>0.61699999999999999</v>
      </c>
    </row>
    <row r="6" spans="1:2">
      <c r="A6" s="4" t="s">
        <v>1066</v>
      </c>
      <c r="B6" s="11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E8B5-EA94-4B9C-A05C-4F9686171D0B}">
  <dimension ref="A1:C10"/>
  <sheetViews>
    <sheetView workbookViewId="0">
      <selection activeCell="F24" sqref="F24"/>
    </sheetView>
  </sheetViews>
  <sheetFormatPr defaultRowHeight="13.8"/>
  <cols>
    <col min="1" max="1" width="15.09765625" bestFit="1" customWidth="1"/>
    <col min="2" max="2" width="17.3984375" bestFit="1" customWidth="1"/>
    <col min="3" max="3" width="14.69921875" bestFit="1" customWidth="1"/>
  </cols>
  <sheetData>
    <row r="1" spans="1:3" ht="30.6" customHeight="1">
      <c r="A1" s="6" t="s">
        <v>1105</v>
      </c>
    </row>
    <row r="3" spans="1:3">
      <c r="A3" s="3" t="s">
        <v>1060</v>
      </c>
      <c r="B3" t="s">
        <v>1095</v>
      </c>
      <c r="C3" t="s">
        <v>1104</v>
      </c>
    </row>
    <row r="4" spans="1:3">
      <c r="A4" s="4" t="s">
        <v>52</v>
      </c>
      <c r="B4" s="5">
        <v>165</v>
      </c>
      <c r="C4" s="5">
        <v>165</v>
      </c>
    </row>
    <row r="5" spans="1:3">
      <c r="A5" s="4" t="s">
        <v>41</v>
      </c>
      <c r="B5" s="5">
        <v>166</v>
      </c>
      <c r="C5" s="5">
        <v>166</v>
      </c>
    </row>
    <row r="6" spans="1:3">
      <c r="A6" s="4" t="s">
        <v>45</v>
      </c>
      <c r="B6" s="5">
        <v>181</v>
      </c>
      <c r="C6" s="5">
        <v>181</v>
      </c>
    </row>
    <row r="7" spans="1:3">
      <c r="A7" s="4" t="s">
        <v>33</v>
      </c>
      <c r="B7" s="5">
        <v>179</v>
      </c>
      <c r="C7" s="5">
        <v>179</v>
      </c>
    </row>
    <row r="8" spans="1:3">
      <c r="A8" s="4" t="s">
        <v>22</v>
      </c>
      <c r="B8" s="5">
        <v>173</v>
      </c>
      <c r="C8" s="5">
        <v>173</v>
      </c>
    </row>
    <row r="9" spans="1:3">
      <c r="A9" s="4" t="s">
        <v>62</v>
      </c>
      <c r="B9" s="5">
        <v>136</v>
      </c>
      <c r="C9" s="5">
        <v>136</v>
      </c>
    </row>
    <row r="10" spans="1:3">
      <c r="A10" s="4" t="s">
        <v>1066</v>
      </c>
      <c r="B10" s="5">
        <v>1000</v>
      </c>
      <c r="C10" s="5">
        <v>1000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1692-3DC7-40DA-B94A-217AF895BE39}">
  <dimension ref="A1:D10"/>
  <sheetViews>
    <sheetView workbookViewId="0">
      <selection activeCell="D23" sqref="D23"/>
    </sheetView>
  </sheetViews>
  <sheetFormatPr defaultRowHeight="13.8"/>
  <cols>
    <col min="1" max="1" width="18.8984375" bestFit="1" customWidth="1"/>
    <col min="2" max="2" width="16.09765625" bestFit="1" customWidth="1"/>
    <col min="3" max="3" width="8.69921875" bestFit="1" customWidth="1"/>
    <col min="4" max="4" width="11" bestFit="1" customWidth="1"/>
  </cols>
  <sheetData>
    <row r="1" spans="1:4" ht="29.4" customHeight="1">
      <c r="A1" s="6" t="s">
        <v>1107</v>
      </c>
    </row>
    <row r="3" spans="1:4">
      <c r="A3" s="3" t="s">
        <v>1106</v>
      </c>
      <c r="B3" s="3" t="s">
        <v>1094</v>
      </c>
    </row>
    <row r="4" spans="1:4">
      <c r="A4" s="3" t="s">
        <v>1060</v>
      </c>
      <c r="B4" t="s">
        <v>29</v>
      </c>
      <c r="C4" t="s">
        <v>38</v>
      </c>
      <c r="D4" t="s">
        <v>1066</v>
      </c>
    </row>
    <row r="5" spans="1:4">
      <c r="A5" s="4" t="s">
        <v>37</v>
      </c>
      <c r="B5" s="5">
        <v>172</v>
      </c>
      <c r="C5" s="5">
        <v>13</v>
      </c>
      <c r="D5" s="5">
        <v>185</v>
      </c>
    </row>
    <row r="6" spans="1:4">
      <c r="A6" s="4" t="s">
        <v>42</v>
      </c>
      <c r="B6" s="5">
        <v>203</v>
      </c>
      <c r="C6" s="5">
        <v>17</v>
      </c>
      <c r="D6" s="5">
        <v>220</v>
      </c>
    </row>
    <row r="7" spans="1:4">
      <c r="A7" s="4" t="s">
        <v>64</v>
      </c>
      <c r="B7" s="5">
        <v>166</v>
      </c>
      <c r="C7" s="5">
        <v>22</v>
      </c>
      <c r="D7" s="5">
        <v>188</v>
      </c>
    </row>
    <row r="8" spans="1:4">
      <c r="A8" s="4" t="s">
        <v>55</v>
      </c>
      <c r="B8" s="5">
        <v>199</v>
      </c>
      <c r="C8" s="5">
        <v>19</v>
      </c>
      <c r="D8" s="5">
        <v>218</v>
      </c>
    </row>
    <row r="9" spans="1:4">
      <c r="A9" s="4" t="s">
        <v>28</v>
      </c>
      <c r="B9" s="5">
        <v>171</v>
      </c>
      <c r="C9" s="5">
        <v>18</v>
      </c>
      <c r="D9" s="5">
        <v>189</v>
      </c>
    </row>
    <row r="10" spans="1:4">
      <c r="A10" s="4" t="s">
        <v>1066</v>
      </c>
      <c r="B10" s="5">
        <v>911</v>
      </c>
      <c r="C10" s="5">
        <v>89</v>
      </c>
      <c r="D10" s="5">
        <v>1000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HealthCare</vt:lpstr>
      <vt:lpstr>Ans-1</vt:lpstr>
      <vt:lpstr>Ans-2</vt:lpstr>
      <vt:lpstr>Ans-3</vt:lpstr>
      <vt:lpstr>Ans-4</vt:lpstr>
      <vt:lpstr>Ans-5</vt:lpstr>
      <vt:lpstr>Ans-6</vt:lpstr>
      <vt:lpstr>Ans-7</vt:lpstr>
      <vt:lpstr>Ans-9</vt:lpstr>
      <vt:lpstr>Ans-10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HP</cp:lastModifiedBy>
  <dcterms:created xsi:type="dcterms:W3CDTF">2025-07-18T10:46:53Z</dcterms:created>
  <dcterms:modified xsi:type="dcterms:W3CDTF">2026-01-05T08:56:20Z</dcterms:modified>
</cp:coreProperties>
</file>